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2e383713025249fd" /></Relationships>
</file>

<file path=xl/workbook.xml><?xml version="1.0" encoding="utf-8"?>
<x:workbook xmlns:x="http://schemas.openxmlformats.org/spreadsheetml/2006/main">
  <x:sheets>
    <x:sheet xmlns:r="http://schemas.openxmlformats.org/officeDocument/2006/relationships" name="PRISMA_Summary" sheetId="1" r:id="R523e6b5dd3fb4a8f"/>
    <x:sheet xmlns:r="http://schemas.openxmlformats.org/officeDocument/2006/relationships" name="Search_Strategy" sheetId="2" r:id="Rddcada5d8784495c"/>
    <x:sheet xmlns:r="http://schemas.openxmlformats.org/officeDocument/2006/relationships" name="Expanded_Corpus_170" sheetId="3" r:id="Re1047465178241c3"/>
    <x:sheet xmlns:r="http://schemas.openxmlformats.org/officeDocument/2006/relationships" name="Added_45_New_Papers" sheetId="4" r:id="Re9fe9ab09a4546dc"/>
    <x:sheet xmlns:r="http://schemas.openxmlformats.org/officeDocument/2006/relationships" name="Final_Top_50" sheetId="5" r:id="Rd50bbb8739504b2d"/>
    <x:sheet xmlns:r="http://schemas.openxmlformats.org/officeDocument/2006/relationships" name="Theme_Summary" sheetId="6" r:id="R7ca4758a7fc642f1"/>
    <x:sheet xmlns:r="http://schemas.openxmlformats.org/officeDocument/2006/relationships" name="Excluded_Flags" sheetId="7" r:id="R12304aca00a1413d"/>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5">
    <x:font>
      <x:sz val="11"/>
      <x:name val="Carlito"/>
    </x:font>
    <x:font>
      <x:b/>
      <x:sz val="11"/>
      <x:color rgb="FFFFFF"/>
      <x:name val="Carlito"/>
    </x:font>
    <x:font>
      <x:b/>
      <x:sz val="14"/>
      <x:color rgb="FFFFFF"/>
      <x:name val="Carlito"/>
    </x:font>
    <x:font>
      <x:b/>
      <x:sz val="11"/>
      <x:color rgb="0F766E"/>
      <x:name val="Carlito"/>
    </x:font>
    <x:font>
      <x:b/>
      <x:sz val="11"/>
      <x:color rgb="134E4A"/>
      <x:name val="Carlito"/>
    </x:font>
  </x:fonts>
  <x:fills count="5">
    <x:fill>
      <x:patternFill patternType="none"/>
    </x:fill>
    <x:fill>
      <x:patternFill patternType="gray125"/>
    </x:fill>
    <x:fill>
      <x:patternFill patternType="solid">
        <x:fgColor rgb="0F766E"/>
      </x:patternFill>
    </x:fill>
    <x:fill>
      <x:patternFill patternType="solid">
        <x:fgColor rgb="134E4A"/>
      </x:patternFill>
    </x:fill>
    <x:fill>
      <x:patternFill patternType="solid">
        <x:fgColor rgb="E0F2F1"/>
      </x:patternFill>
    </x:fill>
  </x:fills>
  <x:borders count="2">
    <x:border/>
    <x:border/>
  </x:borders>
  <x:cellStyleXfs count="1">
    <x:xf numFmtId="0" fontId="0" fillId="0" borderId="0"/>
  </x:cellStyleXfs>
  <x:cellXfs count="3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2" fillId="2" borderId="0" xfId="0" applyNumberFormat="1" applyFont="1" applyFill="1" applyBorder="1"/>
    <x:xf numFmtId="0" fontId="2" fillId="2" borderId="0" xfId="0" applyNumberFormat="1" applyFont="1" applyFill="1" applyBorder="1" applyAlignment="1">
      <x:alignment horizontal="center"/>
    </x:xf>
    <x:xf numFmtId="0" fontId="2" fillId="2" borderId="0" xfId="0" applyNumberFormat="1" applyFont="1" applyFill="1" applyBorder="1" applyAlignment="1">
      <x:alignment horizontal="center" vertical="center"/>
    </x:xf>
    <x:xf numFmtId="0" fontId="2" fillId="2" borderId="1" xfId="0" applyNumberFormat="1" applyFont="1" applyFill="1" applyBorder="1"/>
    <x:xf numFmtId="0" fontId="2" fillId="2" borderId="1" xfId="0" applyNumberFormat="1" applyFont="1" applyFill="1" applyBorder="1" applyAlignment="1">
      <x:alignment horizontal="center"/>
    </x:xf>
    <x:xf numFmtId="0" fontId="2" fillId="2" borderId="1" xfId="0" applyNumberFormat="1" applyFont="1" applyFill="1" applyBorder="1" applyAlignment="1">
      <x:alignment horizontal="center" vertical="center"/>
    </x:xf>
    <x:xf numFmtId="0" fontId="0" fillId="3" borderId="0" xfId="0" applyNumberFormat="1" applyFont="1" applyFill="1" applyBorder="1"/>
    <x:xf numFmtId="0" fontId="1" fillId="3" borderId="0" xfId="0" applyNumberFormat="1" applyFont="1" applyFill="1" applyBorder="1"/>
    <x:xf numFmtId="0" fontId="1" fillId="3" borderId="0" xfId="0" applyNumberFormat="1" applyFont="1" applyFill="1" applyBorder="1" applyAlignment="1">
      <x:alignment horizontal="center"/>
    </x:xf>
    <x:xf numFmtId="0" fontId="0" fillId="3" borderId="1" xfId="0" applyNumberFormat="1" applyFont="1" applyFill="1" applyBorder="1"/>
    <x:xf numFmtId="0" fontId="1" fillId="3" borderId="1" xfId="0" applyNumberFormat="1" applyFont="1" applyFill="1" applyBorder="1"/>
    <x:xf numFmtId="0" fontId="1" fillId="3" borderId="1" xfId="0" applyNumberFormat="1" applyFont="1" applyFill="1" applyBorder="1" applyAlignment="1">
      <x:alignment horizontal="center"/>
    </x:xf>
    <x:xf numFmtId="0" fontId="3" fillId="0" borderId="0" xfId="0" applyNumberFormat="1" applyFont="1" applyFill="1" applyBorder="1" applyAlignment="1">
      <x:alignment wrapText="1"/>
    </x:xf>
    <x:xf numFmtId="0" fontId="3" fillId="0" borderId="0" xfId="0" applyNumberFormat="1" applyFont="1" applyFill="1" applyBorder="1" applyAlignment="1">
      <x:alignment horizontal="center" wrapText="1"/>
    </x:xf>
    <x:xf numFmtId="0" fontId="3" fillId="0" borderId="1" xfId="0" applyNumberFormat="1" applyFont="1" applyFill="1" applyBorder="1" applyAlignment="1">
      <x:alignment wrapText="1"/>
    </x:xf>
    <x:xf numFmtId="0" fontId="3" fillId="0" borderId="1" xfId="0" applyNumberFormat="1" applyFont="1" applyFill="1" applyBorder="1" applyAlignment="1">
      <x:alignment horizontal="center" wrapText="1"/>
    </x:xf>
    <x:xf numFmtId="0" fontId="0" fillId="4" borderId="0" xfId="0" applyNumberFormat="1" applyFont="1" applyFill="1" applyBorder="1"/>
    <x:xf numFmtId="0" fontId="4" fillId="4" borderId="0" xfId="0" applyNumberFormat="1" applyFont="1" applyFill="1" applyBorder="1"/>
    <x:xf numFmtId="0" fontId="0" fillId="4" borderId="1" xfId="0" applyNumberFormat="1" applyFont="1" applyFill="1" applyBorder="1"/>
    <x:xf numFmtId="0" fontId="4" fillId="4" borderId="1" xfId="0" applyNumberFormat="1" applyFont="1" applyFill="1" applyBorder="1"/>
    <x:xf numFmtId="200" fontId="1" fillId="2" borderId="0" xfId="0" applyNumberFormat="1" applyFont="1" applyFill="1" applyBorder="1" applyAlignment="1">
      <x:alignment horizontal="center" vertical="center" wrapText="1"/>
    </x:xf>
    <x:xf numFmtId="200" fontId="1" fillId="2" borderId="1" xfId="0" applyNumberFormat="1" applyFont="1" applyFill="1" applyBorder="1" applyAlignment="1">
      <x:alignment horizontal="center" vertical="center" wrapText="1"/>
    </x:xf>
    <x:xf numFmtId="200" fontId="3" fillId="0" borderId="0" xfId="0" applyNumberFormat="1" applyFont="1" applyFill="1" applyBorder="1" applyAlignment="1">
      <x:alignment horizontal="center" wrapText="1"/>
    </x:xf>
  </x:cellXfs>
  <x:cellStyles count="1">
    <x:cellStyle name="Normal" xfId="0"/>
  </x:cellStyles>
  <x:dxfs count="5">
    <x:dxf>
      <x:fill>
        <x:patternFill patternType="solid">
          <x:bgColor rgb="DCFCE7"/>
        </x:patternFill>
      </x:fill>
    </x:dxf>
    <x:dxf>
      <x:fill>
        <x:patternFill patternType="solid">
          <x:bgColor rgb="FEE2E2"/>
        </x:patternFill>
      </x:fill>
    </x:dxf>
    <x:dxf>
      <x:fill>
        <x:patternFill patternType="solid">
          <x:bgColor rgb="ECFDF5"/>
        </x:patternFill>
      </x:fill>
    </x:dxf>
    <x:dxf>
      <x:fill>
        <x:patternFill patternType="solid">
          <x:bgColor rgb="ECFDF5"/>
        </x:patternFill>
      </x:fill>
    </x:dxf>
    <x:dxf>
      <x:fill>
        <x:patternFill patternType="solid">
          <x:bgColor rgb="ECFDF5"/>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c5d4cc3687c4538" /><Relationship Type="http://schemas.openxmlformats.org/officeDocument/2006/relationships/theme" Target="/xl/theme/theme1.xml" Id="Rb0bef29ae18f4916" /><Relationship Type="http://schemas.openxmlformats.org/officeDocument/2006/relationships/sharedStrings" Target="/xl/sharedStrings.xml" Id="R1d6fb928984a4e89" /><Relationship Type="http://schemas.openxmlformats.org/officeDocument/2006/relationships/worksheet" Target="/xl/worksheets/sheet1.xml" Id="R523e6b5dd3fb4a8f" /><Relationship Type="http://schemas.openxmlformats.org/officeDocument/2006/relationships/worksheet" Target="/xl/worksheets/sheet2.xml" Id="Rddcada5d8784495c" /><Relationship Type="http://schemas.openxmlformats.org/officeDocument/2006/relationships/worksheet" Target="/xl/worksheets/sheet3.xml" Id="Re1047465178241c3" /><Relationship Type="http://schemas.openxmlformats.org/officeDocument/2006/relationships/worksheet" Target="/xl/worksheets/sheet4.xml" Id="Re9fe9ab09a4546dc" /><Relationship Type="http://schemas.openxmlformats.org/officeDocument/2006/relationships/worksheet" Target="/xl/worksheets/sheet5.xml" Id="Rd50bbb8739504b2d" /><Relationship Type="http://schemas.openxmlformats.org/officeDocument/2006/relationships/worksheet" Target="/xl/worksheets/sheet6.xml" Id="R7ca4758a7fc642f1" /><Relationship Type="http://schemas.openxmlformats.org/officeDocument/2006/relationships/worksheet" Target="/xl/worksheets/sheet7.xml" Id="R12304aca00a1413d" /></Relationships>
</file>

<file path=xl/tables/table1.xml><?xml version="1.0" encoding="utf-8"?>
<x:table xmlns:x="http://schemas.openxmlformats.org/spreadsheetml/2006/main" id="5" name="SearchStrategyTable" displayName="SearchStrategyTable" ref="A1:B9" headerRowCount="1">
  <x:tableColumns count="2">
    <x:tableColumn id="1" name="Item"/>
    <x:tableColumn id="2" name="Details"/>
  </x:tableColumns>
  <x:tableStyleInfo name="TableStyleMedium2" showRowStripes="1"/>
</x:table>
</file>

<file path=xl/tables/table2.xml><?xml version="1.0" encoding="utf-8"?>
<x:table xmlns:x="http://schemas.openxmlformats.org/spreadsheetml/2006/main" id="1" name="ExpandedCorpusTable" displayName="ExpandedCorpusTable" ref="A1:S171" headerRowCount="1">
  <x:tableColumns count="19">
    <x:tableColumn id="1" name="Corpus_ID"/>
    <x:tableColumn id="2" name="Source_Type"/>
    <x:tableColumn id="3" name="Screening_Decision"/>
    <x:tableColumn id="4" name="Year"/>
    <x:tableColumn id="5" name="Title"/>
    <x:tableColumn id="6" name="Authors"/>
    <x:tableColumn id="7" name="Venue/Publisher"/>
    <x:tableColumn id="8" name="Theme"/>
    <x:tableColumn id="9" name="Article_URL"/>
    <x:tableColumn id="10" name="Direct_PDF_URL"/>
    <x:tableColumn id="11" name="Access_Status"/>
    <x:tableColumn id="12" name="Source"/>
    <x:tableColumn id="13" name="Source_Row"/>
    <x:tableColumn id="14" name="PID"/>
    <x:tableColumn id="15" name="Citation_or_Source_Note"/>
    <x:tableColumn id="16" name="Screening_Notes"/>
    <x:tableColumn id="17" name="Relevance_Score"/>
    <x:tableColumn id="18" name="Keywords"/>
    <x:tableColumn id="19" name="Abstract"/>
  </x:tableColumns>
  <x:tableStyleInfo name="TableStyleMedium2" showRowStripes="1"/>
</x:table>
</file>

<file path=xl/tables/table3.xml><?xml version="1.0" encoding="utf-8"?>
<x:table xmlns:x="http://schemas.openxmlformats.org/spreadsheetml/2006/main" id="2" name="AddedPapersTable" displayName="AddedPapersTable" ref="A1:L46" headerRowCount="1">
  <x:tableColumns count="12">
    <x:tableColumn id="1" name="Add_ID"/>
    <x:tableColumn id="2" name="Year"/>
    <x:tableColumn id="3" name="Title"/>
    <x:tableColumn id="4" name="Authors"/>
    <x:tableColumn id="5" name="Venue"/>
    <x:tableColumn id="6" name="Theme"/>
    <x:tableColumn id="7" name="Quality_Note"/>
    <x:tableColumn id="8" name="Article_URL"/>
    <x:tableColumn id="9" name="Direct_PDF_URL"/>
    <x:tableColumn id="10" name="Access_Status"/>
    <x:tableColumn id="11" name="Why_or_Notes"/>
    <x:tableColumn id="12" name="Source_Citation"/>
  </x:tableColumns>
  <x:tableStyleInfo name="TableStyleMedium2" showRowStripes="1"/>
</x:table>
</file>

<file path=xl/tables/table4.xml><?xml version="1.0" encoding="utf-8"?>
<x:table xmlns:x="http://schemas.openxmlformats.org/spreadsheetml/2006/main" id="3" name="FinalTop50Table" displayName="FinalTop50Table" ref="A1:L51" headerRowCount="1">
  <x:tableColumns count="12">
    <x:tableColumn id="1" name="Rank"/>
    <x:tableColumn id="2" name="Year"/>
    <x:tableColumn id="3" name="Title"/>
    <x:tableColumn id="4" name="Authors"/>
    <x:tableColumn id="5" name="Venue"/>
    <x:tableColumn id="6" name="Theme"/>
    <x:tableColumn id="7" name="Why_Selected"/>
    <x:tableColumn id="8" name="Article_URL"/>
    <x:tableColumn id="9" name="Direct_PDF_URL"/>
    <x:tableColumn id="10" name="Access_Status"/>
    <x:tableColumn id="11" name="Source_Group"/>
    <x:tableColumn id="12" name="Quality_Note"/>
  </x:tableColumns>
  <x:tableStyleInfo name="TableStyleMedium2" showRowStripes="1"/>
</x:table>
</file>

<file path=xl/tables/table5.xml><?xml version="1.0" encoding="utf-8"?>
<x:table xmlns:x="http://schemas.openxmlformats.org/spreadsheetml/2006/main" id="6" name="ThemeSummaryTable" displayName="ThemeSummaryTable" ref="A1:D50" headerRowCount="1">
  <x:tableColumns count="4">
    <x:tableColumn id="1" name="Theme"/>
    <x:tableColumn id="2" name="Final_Top_50_Count"/>
    <x:tableColumn id="3" name="Added_New_Papers_Count"/>
    <x:tableColumn id="4" name="Expanded_Corpus_Count"/>
  </x:tableColumns>
  <x:tableStyleInfo name="TableStyleMedium2" showRowStripes="1"/>
</x:table>
</file>

<file path=xl/tables/table6.xml><?xml version="1.0" encoding="utf-8"?>
<x:table xmlns:x="http://schemas.openxmlformats.org/spreadsheetml/2006/main" id="4" name="ExcludedFlagsTable" displayName="ExcludedFlagsTable" ref="A1:H77" headerRowCount="1">
  <x:tableColumns count="8">
    <x:tableColumn id="1" name="Corpus_ID"/>
    <x:tableColumn id="2" name="Year"/>
    <x:tableColumn id="3" name="Title"/>
    <x:tableColumn id="4" name="Decision"/>
    <x:tableColumn id="5" name="Reason/Notes"/>
    <x:tableColumn id="6" name="Source"/>
    <x:tableColumn id="7" name="Article_URL"/>
    <x:tableColumn id="8" name="Direct_PDF_URL"/>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88f31b568e4e4152" /></Relationships>
</file>

<file path=xl/worksheets/_rels/sheet3.xml.rels>&#65279;<?xml version="1.0" encoding="utf-8"?><Relationships xmlns="http://schemas.openxmlformats.org/package/2006/relationships"><Relationship Type="http://schemas.openxmlformats.org/officeDocument/2006/relationships/table" Target="/xl/tables/table2.xml" Id="R335473fd00834724" /></Relationships>
</file>

<file path=xl/worksheets/_rels/sheet4.xml.rels>&#65279;<?xml version="1.0" encoding="utf-8"?><Relationships xmlns="http://schemas.openxmlformats.org/package/2006/relationships"><Relationship Type="http://schemas.openxmlformats.org/officeDocument/2006/relationships/table" Target="/xl/tables/table3.xml" Id="Raae97094c6af4c3b" /></Relationships>
</file>

<file path=xl/worksheets/_rels/sheet5.xml.rels>&#65279;<?xml version="1.0" encoding="utf-8"?><Relationships xmlns="http://schemas.openxmlformats.org/package/2006/relationships"><Relationship Type="http://schemas.openxmlformats.org/officeDocument/2006/relationships/table" Target="/xl/tables/table4.xml" Id="R1993996774764852" /></Relationships>
</file>

<file path=xl/worksheets/_rels/sheet6.xml.rels>&#65279;<?xml version="1.0" encoding="utf-8"?><Relationships xmlns="http://schemas.openxmlformats.org/package/2006/relationships"><Relationship Type="http://schemas.openxmlformats.org/officeDocument/2006/relationships/table" Target="/xl/tables/table5.xml" Id="R04e1c69501fb437e" /></Relationships>
</file>

<file path=xl/worksheets/_rels/sheet7.xml.rels>&#65279;<?xml version="1.0" encoding="utf-8"?><Relationships xmlns="http://schemas.openxmlformats.org/package/2006/relationships"><Relationship Type="http://schemas.openxmlformats.org/officeDocument/2006/relationships/table" Target="/xl/tables/table6.xml" Id="Rb2ab629ca3dc4c9a" /></Relationships>
</file>

<file path=xl/worksheets/sheet1.xml><?xml version="1.0" encoding="utf-8"?>
<x:worksheet xmlns:x="http://schemas.openxmlformats.org/spreadsheetml/2006/main">
  <x:sheetFormatPr defaultRowHeight="15"/>
  <x:cols>
    <x:col min="1" max="1" width="34" hidden="0" customWidth="1"/>
    <x:col min="2" max="2" width="12" hidden="0" customWidth="1"/>
    <x:col min="3" max="3" width="24" hidden="0" customWidth="1"/>
    <x:col min="4" max="4" width="60" hidden="0" customWidth="1"/>
    <x:col min="5" max="5" width="14" hidden="0" customWidth="1"/>
    <x:col min="6" max="6" width="14" hidden="0" customWidth="1"/>
    <x:col min="7" max="7" width="14" hidden="0" customWidth="1"/>
    <x:col min="8" max="8" width="14" hidden="0" customWidth="1"/>
  </x:cols>
  <x:sheetData>
    <x:row r="1" ht="32" customHeight="1">
      <x:c r="A1" s="18" t="str">
        <x:v>LCNC review corpus expansion and PRISMA-style screening summary</x:v>
      </x:c>
    </x:row>
    <x:row r="3">
      <x:c r="A3" s="24" t="str">
        <x:v>Stage</x:v>
      </x:c>
      <x:c r="B3" s="24" t="str">
        <x:v>Count</x:v>
      </x:c>
      <x:c r="C3" s="24" t="str">
        <x:v>Formula / Basis</x:v>
      </x:c>
      <x:c r="D3" s="24" t="str">
        <x:v>Notes</x:v>
      </x:c>
    </x:row>
    <x:row r="4">
      <x:c r="A4" s="12" t="str">
        <x:v>Records supplied by you</x:v>
      </x:c>
      <x:c r="B4" s="38" t="n">
        <x:f>125</x:f>
        <x:v>125</x:v>
      </x:c>
      <x:c r="C4" s="12" t="str">
        <x:v>Formula-driven count</x:v>
      </x:c>
      <x:c r="D4" s="12" t="str">
        <x:v>Two uploaded Excel files; 24 newer + 101 older entries.</x:v>
      </x:c>
    </x:row>
    <x:row r="5">
      <x:c r="A5" s="12" t="str">
        <x:v>Additional records identified by web search</x:v>
      </x:c>
      <x:c r="B5" s="38" t="n">
        <x:f>45</x:f>
        <x:v>45</x:v>
      </x:c>
      <x:c r="C5" s="12" t="str">
        <x:v>Formula-driven count</x:v>
      </x:c>
      <x:c r="D5" s="12" t="str">
        <x:v>Recent 2024–2026 heavy emphasis; article/PDF links included where found.</x:v>
      </x:c>
    </x:row>
    <x:row r="6">
      <x:c r="A6" s="12" t="str">
        <x:v>Total records before screening</x:v>
      </x:c>
      <x:c r="B6" s="38" t="n">
        <x:f>170</x:f>
        <x:v>170</x:v>
      </x:c>
      <x:c r="C6" s="12" t="str">
        <x:v>Formula-driven count</x:v>
      </x:c>
      <x:c r="D6" s="12" t="str">
        <x:v>Target corpus size achieved: 170 rows.</x:v>
      </x:c>
    </x:row>
    <x:row r="7">
      <x:c r="A7" s="12" t="str">
        <x:v>Duplicates / low-fit flags</x:v>
      </x:c>
      <x:c r="B7" s="38" t="n">
        <x:f>9</x:f>
        <x:v>9</x:v>
      </x:c>
      <x:c r="C7" s="12" t="str">
        <x:v>Formula-driven count</x:v>
      </x:c>
      <x:c r="D7" s="12" t="str">
        <x:v>Duplicate titles, blog/non-paper-like records, or weak fit entries flagged.</x:v>
      </x:c>
    </x:row>
    <x:row r="8">
      <x:c r="A8" s="12" t="str">
        <x:v>Records screened after dedupe/eligibility</x:v>
      </x:c>
      <x:c r="B8" s="38" t="n">
        <x:f>161</x:f>
        <x:v>161</x:v>
      </x:c>
      <x:c r="C8" s="12" t="str">
        <x:v>Formula-driven count</x:v>
      </x:c>
      <x:c r="D8" s="12" t="str">
        <x:v>Screened by title, abstract, recency, source quality, LCNC fit, and availability of full text.</x:v>
      </x:c>
    </x:row>
    <x:row r="9">
      <x:c r="A9" s="12" t="str">
        <x:v>Studies included in final review shortlist</x:v>
      </x:c>
      <x:c r="B9" s="38" t="n">
        <x:f>50</x:f>
        <x:v>50</x:v>
      </x:c>
      <x:c r="C9" s="12" t="str">
        <x:v>Formula-driven count</x:v>
      </x:c>
      <x:c r="D9" s="12" t="str">
        <x:v>Final curated top 50 for review-paper writing.</x:v>
      </x:c>
    </x:row>
    <x:row r="10">
      <x:c r="A10" s="12" t="str">
        <x:v>Records excluded from final top 50</x:v>
      </x:c>
      <x:c r="B10" s="38" t="n">
        <x:f>120</x:f>
        <x:v>120</x:v>
      </x:c>
      <x:c r="C10" s="12" t="str">
        <x:v>Formula-driven count</x:v>
      </x:c>
      <x:c r="D10" s="12" t="str">
        <x:v>Retained in expanded corpus for PRISMA transparency and backup reading.</x:v>
      </x:c>
    </x:row>
    <x:row r="12">
      <x:c r="A12" s="33" t="str">
        <x:v>Suggested PRISMA narrative for methods section</x:v>
      </x:c>
    </x:row>
    <x:row r="13">
      <x:c r="A13" s="14" t="str">
        <x:v>Records were first identified from the authors’ two candidate-paper spreadsheets (n=125). A supplementary web search was conducted on 12 June 2026 across publisher pages and open repositories including arXiv, ACM/ACL, Springer, IEEE/Computer Society, MDPI, Wiley, AIS eLibrary, and institutional repositories. Forty-five additional recent records were added, bringing the corpus to 170 records. Screening was performed using title/abstract relevance, recency, source quality, direct full-text/article availability, and fit to low-code/no-code development, AI-assisted/no-code tools, citizen development, model-driven low-code engineering, and domain applications. The final qualitative review shortlist contains 50 papers.</x:v>
      </x:c>
    </x:row>
  </x:sheetData>
  <x:mergeCells>
    <x:mergeCell ref="A1:H1"/>
    <x:mergeCell ref="A12:H12"/>
    <x:mergeCell ref="A13:H16"/>
  </x:mergeCells>
  <x:pageMargins left="0.7" right="0.7" top="0.75" bottom="0.75" header="0.3" footer="0.3"/>
</x:worksheet>
</file>

<file path=xl/worksheets/sheet2.xml><?xml version="1.0" encoding="utf-8"?>
<x:worksheet xmlns:x="http://schemas.openxmlformats.org/spreadsheetml/2006/main">
  <x:sheetFormatPr defaultRowHeight="15"/>
  <x:cols>
    <x:col min="1" max="1" width="24" hidden="0" customWidth="1"/>
    <x:col min="2" max="2" width="80" hidden="0" customWidth="1"/>
  </x:cols>
  <x:sheetData>
    <x:row r="1" ht="30" customHeight="1">
      <x:c r="A1" s="6" t="str">
        <x:v>Item</x:v>
      </x:c>
      <x:c r="B1" s="6" t="str">
        <x:v>Details</x:v>
      </x:c>
    </x:row>
    <x:row r="2">
      <x:c r="A2" s="14" t="str">
        <x:v>Search date</x:v>
      </x:c>
      <x:c r="B2" s="14" t="str">
        <x:v>2026-06-12</x:v>
      </x:c>
    </x:row>
    <x:row r="3">
      <x:c r="A3" s="14" t="str">
        <x:v>Starting corpus</x:v>
      </x:c>
      <x:c r="B3" s="14" t="str">
        <x:v>new papers(3).xlsx + previous old papers(3).xlsx + previously curated 30-paper shortlist</x:v>
      </x:c>
    </x:row>
    <x:row r="4">
      <x:c r="A4" s="14" t="str">
        <x:v>Expansion target</x:v>
      </x:c>
      <x:c r="B4" s="14" t="str">
        <x:v>Add 30–50 more recent records; expanded corpus built at 170 records total.</x:v>
      </x:c>
    </x:row>
    <x:row r="5">
      <x:c r="A5" s="14" t="str">
        <x:v>Search sources</x:v>
      </x:c>
      <x:c r="B5" s="14" t="str">
        <x:v>arXiv, ACM Digital Library, ACL Anthology, SpringerLink, IEEE/Computer Society, MDPI, Wiley, AIS eLibrary, Google Scholar-style web search results, institutional repositories.</x:v>
      </x:c>
    </x:row>
    <x:row r="6">
      <x:c r="A6" s="14" t="str">
        <x:v>Core queries</x:v>
      </x:c>
      <x:c r="B6" s="14" t="str">
        <x:v>"low-code no-code" paper 2024 2025 2026; "no-code" "LLM" "workflow"; "low-code" "large language model"; "no-code AI" platform; "low-code" "citizen development" 2025; "low-code" "model-driven" 2024; "zero-code" IoT automation; "low-code" "AI" "systematic review".</x:v>
      </x:c>
    </x:row>
    <x:row r="7">
      <x:c r="A7" s="14" t="str">
        <x:v>Inclusion criteria</x:v>
      </x:c>
      <x:c r="B7" s="14" t="str">
        <x:v>Recent (preferably 2023–2026), clearly research-oriented, LCNC/no-code/zero-code/AI-assisted low-code focus, relevant to review themes, article/PDF accessible or at least a reliable article page.</x:v>
      </x:c>
    </x:row>
    <x:row r="8">
      <x:c r="A8" s="14" t="str">
        <x:v>Exclusion/downranking criteria</x:v>
      </x:c>
      <x:c r="B8" s="14" t="str">
        <x:v>Blog posts, vendor-only whitepapers, duplicate records, weak venue/source signals, no clear LCNC relevance, inaccessible records with insufficient metadata.</x:v>
      </x:c>
    </x:row>
    <x:row r="9">
      <x:c r="A9" s="14" t="str">
        <x:v>Caution</x:v>
      </x:c>
      <x:c r="B9" s="14" t="str">
        <x:v>This is PRISMA-style screening based on available metadata and web verification. For a formal PRISMA 2020 submission, rerun searches in Scopus/WoS/IEEE/ACM with exportable query logs and date-stamped result counts.</x:v>
      </x:c>
    </x:row>
  </x:sheetData>
  <x:pageMargins left="0.7" right="0.7" top="0.75" bottom="0.75" header="0.3" footer="0.3"/>
  <x:tableParts count="1">
    <x:tablePart xmlns:r="http://schemas.openxmlformats.org/officeDocument/2006/relationships" r:id="R88f31b568e4e4152"/>
  </x:tableParts>
</x:worksheet>
</file>

<file path=xl/worksheets/sheet3.xml><?xml version="1.0" encoding="utf-8"?>
<x:worksheet xmlns:x="http://schemas.openxmlformats.org/spreadsheetml/2006/main">
  <x:sheetFormatPr defaultRowHeight="15"/>
  <x:cols>
    <x:col min="1" max="1" width="10" hidden="0" customWidth="1"/>
    <x:col min="2" max="2" width="20" hidden="0" customWidth="1"/>
    <x:col min="3" max="3" width="28" hidden="0" customWidth="1"/>
    <x:col min="4" max="4" width="8" hidden="0" customWidth="1"/>
    <x:col min="5" max="5" width="42" hidden="0" customWidth="1"/>
    <x:col min="6" max="6" width="30" hidden="0" customWidth="1"/>
    <x:col min="7" max="7" width="24" hidden="0" customWidth="1"/>
    <x:col min="8" max="8" width="24" hidden="0" customWidth="1"/>
    <x:col min="9" max="9" width="38" hidden="0" customWidth="1"/>
    <x:col min="10" max="10" width="38" hidden="0" customWidth="1"/>
    <x:col min="11" max="11" width="24" hidden="0" customWidth="1"/>
    <x:col min="12" max="12" width="24" hidden="0" customWidth="1"/>
    <x:col min="13" max="13" width="10" hidden="0" customWidth="1"/>
    <x:col min="14" max="14" width="16" hidden="0" customWidth="1"/>
    <x:col min="15" max="15" width="32" hidden="0" customWidth="1"/>
    <x:col min="16" max="16" width="40" hidden="0" customWidth="1"/>
    <x:col min="17" max="17" width="14" hidden="0" customWidth="1"/>
    <x:col min="18" max="18" width="28" hidden="0" customWidth="1"/>
    <x:col min="19" max="19" width="42" hidden="0" customWidth="1"/>
  </x:cols>
  <x:sheetData>
    <x:row r="1" ht="32" customHeight="1">
      <x:c r="A1" s="36" t="str">
        <x:v>Corpus_ID</x:v>
      </x:c>
      <x:c r="B1" s="6" t="str">
        <x:v>Source_Type</x:v>
      </x:c>
      <x:c r="C1" s="6" t="str">
        <x:v>Screening_Decision</x:v>
      </x:c>
      <x:c r="D1" s="36" t="str">
        <x:v>Year</x:v>
      </x:c>
      <x:c r="E1" s="6" t="str">
        <x:v>Title</x:v>
      </x:c>
      <x:c r="F1" s="6" t="str">
        <x:v>Authors</x:v>
      </x:c>
      <x:c r="G1" s="6" t="str">
        <x:v>Venue/Publisher</x:v>
      </x:c>
      <x:c r="H1" s="6" t="str">
        <x:v>Theme</x:v>
      </x:c>
      <x:c r="I1" s="6" t="str">
        <x:v>Article_URL</x:v>
      </x:c>
      <x:c r="J1" s="6" t="str">
        <x:v>Direct_PDF_URL</x:v>
      </x:c>
      <x:c r="K1" s="6" t="str">
        <x:v>Access_Status</x:v>
      </x:c>
      <x:c r="L1" s="6" t="str">
        <x:v>Source</x:v>
      </x:c>
      <x:c r="M1" s="6" t="str">
        <x:v>Source_Row</x:v>
      </x:c>
      <x:c r="N1" s="6" t="str">
        <x:v>PID</x:v>
      </x:c>
      <x:c r="O1" s="6" t="str">
        <x:v>Citation_or_Source_Note</x:v>
      </x:c>
      <x:c r="P1" s="6" t="str">
        <x:v>Screening_Notes</x:v>
      </x:c>
      <x:c r="Q1" s="36" t="str">
        <x:v>Relevance_Score</x:v>
      </x:c>
      <x:c r="R1" s="6" t="str">
        <x:v>Keywords</x:v>
      </x:c>
      <x:c r="S1" s="6" t="str">
        <x:v>Abstract</x:v>
      </x:c>
    </x:row>
    <x:row r="2" ht="64" customHeight="1">
      <x:c r="A2" s="14" t="n">
        <x:v>1</x:v>
      </x:c>
      <x:c r="B2" s="14" t="str">
        <x:v>Original supplied record</x:v>
      </x:c>
      <x:c r="C2" s="14" t="str">
        <x:v>Final Top 50</x:v>
      </x:c>
      <x:c r="D2" s="14" t="n">
        <x:v>2025</x:v>
      </x:c>
      <x:c r="E2" s="14" t="str">
        <x:v>LLM4FaaS: No-Code Application Development using LLMs and FaaS</x:v>
      </x:c>
      <x:c r="F2" s="14" t="str">
        <x:v>Minghe Wang; Tobias Pfandzelter; Trever Schirmer; David Bermbach</x:v>
      </x:c>
      <x:c r="G2" s="14" t="str">
        <x:v>arXiv</x:v>
      </x:c>
      <x:c r="H2" s="14" t="str">
        <x:v>No-code LLM/FaaS</x:v>
      </x:c>
      <x:c r="I2" s="14" t="str">
        <x:v>https://arxiv.org/abs/2502.14450</x:v>
      </x:c>
      <x:c r="J2" s="14" t="str">
        <x:v>https://arxiv.org/pdf/2502.14450</x:v>
      </x:c>
      <x:c r="K2" s="14" t="str">
        <x:v>Direct arXiv PDF</x:v>
      </x:c>
      <x:c r="L2" s="14" t="str">
        <x:v>new papers(3).xlsx</x:v>
      </x:c>
      <x:c r="M2" s="14" t="n">
        <x:v>2</x:v>
      </x:c>
      <x:c r="N2" s="14" t="str">
        <x:v>PID1</x:v>
      </x:c>
      <x:c r="O2" s="14" t="str">
        <x:v>Wang, M., Pfandzelter, T., Schirmer, T., &amp; Bermbach, D. (2025). LLM4FaaS: No-Code Application Development using LLMs and FaaS. arXiv:2502.14450.</x:v>
      </x:c>
      <x:c r="P2" s="14" t="str">
        <x:v>Strong 2025 no-code application development pipeline with deployment evidence.</x:v>
      </x:c>
      <x:c r="Q2" s="14" t="n">
        <x:v>96</x:v>
      </x:c>
      <x:c r="R2" s="14" t="str">
        <x:v>no-code; LLM; Function-as-a-Service; FaaS; natural language programming; serverless</x:v>
      </x:c>
      <x:c r="S2" s="14" t="str">
        <x:v>Large language models can generate code from natural-language descriptions, but non-technical users often lack the expertise to execute, deploy, and operate generated code. This paper proposes LLM4FaaS, a no-code approach combining LLMs with Function-as-a-Service abstractions so users can build and run applications using only natural language. The approach generates function code from prompts and deploys it via a FaaS platform, reducing operational burden and task complexity for the LLM.</x:v>
      </x:c>
    </x:row>
    <x:row r="3" ht="64" customHeight="1">
      <x:c r="A3" s="14" t="n">
        <x:v>2</x:v>
      </x:c>
      <x:c r="B3" s="14" t="str">
        <x:v>Original supplied record</x:v>
      </x:c>
      <x:c r="C3" s="14" t="str">
        <x:v>Final Top 50</x:v>
      </x:c>
      <x:c r="D3" s="14" t="n">
        <x:v>2025</x:v>
      </x:c>
      <x:c r="E3" s="14" t="str">
        <x:v>Exploring Influence Factors on LLM Suitability for No-Code Development of End User IoT Applications</x:v>
      </x:c>
      <x:c r="F3" s="14" t="str">
        <x:v>Minghe Wang; Alexandra Kapp; Trever Schirmer; Tobias Pfandzelter; David Bermbach</x:v>
      </x:c>
      <x:c r="G3" s="14" t="str">
        <x:v>arXiv</x:v>
      </x:c>
      <x:c r="H3" s="14" t="str">
        <x:v>LLM suitability / IoT no-code</x:v>
      </x:c>
      <x:c r="I3" s="14" t="str">
        <x:v>https://arxiv.org/abs/2505.04710</x:v>
      </x:c>
      <x:c r="J3" s="14" t="str">
        <x:v>https://arxiv.org/pdf/2505.04710</x:v>
      </x:c>
      <x:c r="K3" s="14" t="str">
        <x:v>Direct arXiv PDF</x:v>
      </x:c>
      <x:c r="L3" s="14" t="str">
        <x:v>new papers(3).xlsx</x:v>
      </x:c>
      <x:c r="M3" s="14" t="n">
        <x:v>3</x:v>
      </x:c>
      <x:c r="N3" s="14" t="str">
        <x:v>PID2</x:v>
      </x:c>
      <x:c r="O3" s="14" t="str">
        <x:v>Wang, M., Kapp, A., Schirmer, T., Pfandzelter, T., &amp; Bermbach, D. (2025). Exploring Influence Factors on LLM Suitability for No-Code Development of End User IoT Applications. arXiv:2505.04710.</x:v>
      </x:c>
      <x:c r="P3" s="14" t="str">
        <x:v>Recent no-code IoT/LLM suitability study; useful for limits and task-fit framing.</x:v>
      </x:c>
      <x:c r="Q3" s="14" t="n">
        <x:v>95</x:v>
      </x:c>
      <x:c r="R3" s="14" t="str">
        <x:v>no-code; IoT; LLM suitability; end-user development; prompt language; generated applications</x:v>
      </x:c>
      <x:c r="S3" s="14" t="str">
        <x:v>The paper studies factors influencing the suitability of LLMs for no-code development of end-user IoT applications. It examines the effects of model differences, prompt language, training data, and generated-application quality for users who describe IoT requirements in natural language rather than defining event-action structures manually.</x:v>
      </x:c>
    </x:row>
    <x:row r="4" ht="64" customHeight="1">
      <x:c r="A4" s="14" t="n">
        <x:v>3</x:v>
      </x:c>
      <x:c r="B4" s="14" t="str">
        <x:v>Original supplied record</x:v>
      </x:c>
      <x:c r="C4" s="14" t="str">
        <x:v>Final Top 50</x:v>
      </x:c>
      <x:c r="D4" s="14" t="n">
        <x:v>2025</x:v>
      </x:c>
      <x:c r="E4" s="14" t="str">
        <x:v>DMN-Guided Prompting: A Low-Code Framework for Controlling LLM Behavior</x:v>
      </x:c>
      <x:c r="F4" s="14" t="str">
        <x:v>Shaghayegh Abedi; Amin Jalali</x:v>
      </x:c>
      <x:c r="G4" s="14" t="str">
        <x:v>arXiv</x:v>
      </x:c>
      <x:c r="H4" s="14" t="str">
        <x:v>Low-code prompt control</x:v>
      </x:c>
      <x:c r="I4" s="14" t="str">
        <x:v>https://arxiv.org/abs/2505.11701</x:v>
      </x:c>
      <x:c r="J4" s="14" t="str">
        <x:v>https://arxiv.org/pdf/2505.11701</x:v>
      </x:c>
      <x:c r="K4" s="14" t="str">
        <x:v>Direct arXiv PDF</x:v>
      </x:c>
      <x:c r="L4" s="14" t="str">
        <x:v>new papers(3).xlsx</x:v>
      </x:c>
      <x:c r="M4" s="14" t="n">
        <x:v>4</x:v>
      </x:c>
      <x:c r="N4" s="14" t="str">
        <x:v>PID3</x:v>
      </x:c>
      <x:c r="O4" s="14" t="str">
        <x:v>Abedi, S., &amp; Jalali, A. (2025). DMN-Guided Prompting: A Low-Code Framework for Controlling LLM Behavior. arXiv:2505.11701.</x:v>
      </x:c>
      <x:c r="P4" s="14" t="str">
        <x:v>Relevant bridge between business rules/DMN and controlled LLM behavior.</x:v>
      </x:c>
      <x:c r="Q4" s="14" t="n">
        <x:v>94</x:v>
      </x:c>
      <x:c r="R4" s="14" t="str">
        <x:v>low-code; DMN; LLM; prompting; decision logic; business process management</x:v>
      </x:c>
      <x:c r="S4" s="14" t="str">
        <x:v>Large Language Models show potential in automating decision logic within knowledge-intensive processes, but their effectiveness depends heavily on prompt quality. The paper introduces a DMN-guided prompting framework that decomposes complex decision logic into structured components using Decision Model and Notation, enabling end users to modify/refine decision logic graphically while guiding LLM behavior.</x:v>
      </x:c>
    </x:row>
    <x:row r="5" ht="64" customHeight="1">
      <x:c r="A5" s="14" t="n">
        <x:v>4</x:v>
      </x:c>
      <x:c r="B5" s="14" t="str">
        <x:v>Original supplied record</x:v>
      </x:c>
      <x:c r="C5" s="14" t="str">
        <x:v>Final Top 50</x:v>
      </x:c>
      <x:c r="D5" s="14" t="n">
        <x:v>2025</x:v>
      </x:c>
      <x:c r="E5" s="14" t="str">
        <x:v>Fine-Tune an SLM or Prompt an LLM? The Case of Generating Low-Code Workflows</x:v>
      </x:c>
      <x:c r="F5" s="14" t="str">
        <x:v>Orlando Marquez Ayala; Patrice Bechard; Emily Chen; Maggie Baird; Jingfei Chen</x:v>
      </x:c>
      <x:c r="G5" s="14" t="str">
        <x:v>arXiv</x:v>
      </x:c>
      <x:c r="H5" s="14" t="str">
        <x:v>Low-code workflow generation</x:v>
      </x:c>
      <x:c r="I5" s="14" t="str">
        <x:v>https://arxiv.org/abs/2505.24189</x:v>
      </x:c>
      <x:c r="J5" s="14" t="str">
        <x:v>https://arxiv.org/pdf/2505.24189</x:v>
      </x:c>
      <x:c r="K5" s="14" t="str">
        <x:v>Direct arXiv PDF</x:v>
      </x:c>
      <x:c r="L5" s="14" t="str">
        <x:v>new papers(3).xlsx</x:v>
      </x:c>
      <x:c r="M5" s="14" t="n">
        <x:v>5</x:v>
      </x:c>
      <x:c r="N5" s="14" t="str">
        <x:v>PID4</x:v>
      </x:c>
      <x:c r="O5" s="14" t="str">
        <x:v>Ayala, O. M., Bechard, P., Chen, E., Baird, M., &amp; Chen, J. (2025). Fine-Tune an SLM or Prompt an LLM? The Case of Generating Low-Code Workflows. arXiv:2505.24189.</x:v>
      </x:c>
      <x:c r="P5" s="14" t="str">
        <x:v>Targets practical workflow generation choices for LCNC/LLM systems.</x:v>
      </x:c>
      <x:c r="Q5" s="14" t="n">
        <x:v>93</x:v>
      </x:c>
      <x:c r="R5" s="14" t="str">
        <x:v>low-code workflows; LLM; SLM; fine-tuning; structured JSON output; prompt engineering</x:v>
      </x:c>
      <x:c r="S5" s="14" t="str">
        <x:v>The paper compares fine-tuning a small language model with prompting larger LLMs for generating low-code workflows in JSON form. It investigates whether the cost and latency advantages of fine-tuned SLMs remain useful when LLM prompting can handle complex tasks.</x:v>
      </x:c>
    </x:row>
    <x:row r="6" ht="64" customHeight="1">
      <x:c r="A6" s="14" t="n">
        <x:v>5</x:v>
      </x:c>
      <x:c r="B6" s="14" t="str">
        <x:v>Original supplied record</x:v>
      </x:c>
      <x:c r="C6" s="14" t="str">
        <x:v>Final Top 50</x:v>
      </x:c>
      <x:c r="D6" s="14" t="n">
        <x:v>2025</x:v>
      </x:c>
      <x:c r="E6" s="14" t="str">
        <x:v>Low-code to fight climate change: the Climaborough project</x:v>
      </x:c>
      <x:c r="F6" s="14" t="str">
        <x:v>Aaron Conrardy; Armen Sulejmani; Cindy Guerlain; Daniele Pagani; David Hick; Matteo Satta; Jordi Cabot</x:v>
      </x:c>
      <x:c r="G6" s="14" t="str">
        <x:v>arXiv</x:v>
      </x:c>
      <x:c r="H6" s="14" t="str">
        <x:v>Case study / public sector</x:v>
      </x:c>
      <x:c r="I6" s="14" t="str">
        <x:v>https://arxiv.org/abs/2506.14623</x:v>
      </x:c>
      <x:c r="J6" s="14" t="str">
        <x:v>https://arxiv.org/pdf/2506.14623</x:v>
      </x:c>
      <x:c r="K6" s="14" t="str">
        <x:v>Direct arXiv PDF</x:v>
      </x:c>
      <x:c r="L6" s="14" t="str">
        <x:v>new papers(3).xlsx</x:v>
      </x:c>
      <x:c r="M6" s="14" t="n">
        <x:v>6</x:v>
      </x:c>
      <x:c r="N6" s="14" t="str">
        <x:v>PID5</x:v>
      </x:c>
      <x:c r="O6" s="14" t="str">
        <x:v>Conrardy, A., Sulejmani, A., Guerlain, C., Pagani, D., Hick, D., Satta, M., &amp; Cabot, J. (2025). Low-code to fight climate change: the Climaborough project. arXiv:2506.14623.</x:v>
      </x:c>
      <x:c r="P6" s="14" t="str">
        <x:v>Topical applied 2025 case linking LCNC and civic/climate platforms.</x:v>
      </x:c>
      <x:c r="Q6" s="14" t="n">
        <x:v>83</x:v>
      </x:c>
      <x:c r="R6" s="14" t="str">
        <x:v>low-code; no-code; climate dashboards; smart cities; citizen configuration; EU project</x:v>
      </x:c>
      <x:c r="S6" s="14" t="str">
        <x:v>The EU-funded Climaborough project supports European cities in reaching carbon neutrality by 2030. The paper describes a low-code/no-code strategy for quickly deploying climate dashboards that aggregate historic and real-time data for non-technical experts and citizens, enabling them to monitor climate-transition initiatives and adapt dashboards to local needs.</x:v>
      </x:c>
    </x:row>
    <x:row r="7" ht="64" customHeight="1">
      <x:c r="A7" s="14" t="n">
        <x:v>6</x:v>
      </x:c>
      <x:c r="B7" s="14" t="str">
        <x:v>Original supplied record</x:v>
      </x:c>
      <x:c r="C7" s="14" t="str">
        <x:v>Final Top 50</x:v>
      </x:c>
      <x:c r="D7" s="14" t="n">
        <x:v>2025</x:v>
      </x:c>
      <x:c r="E7" s="14" t="str">
        <x:v>NoCode-bench: A Benchmark for Evaluating Natural Language-Driven Feature Addition</x:v>
      </x:c>
      <x:c r="F7" s="14" t="str">
        <x:v>Le Deng; Zhonghao Jiang; Jialun Cao; Michael Pradel; Zhongxin Liu</x:v>
      </x:c>
      <x:c r="G7" s="14" t="str">
        <x:v>arXiv</x:v>
      </x:c>
      <x:c r="H7" s="14" t="str">
        <x:v>Benchmark / evaluation</x:v>
      </x:c>
      <x:c r="I7" s="14" t="str">
        <x:v>https://arxiv.org/abs/2507.18130</x:v>
      </x:c>
      <x:c r="J7" s="14" t="str">
        <x:v>https://arxiv.org/pdf/2507.18130</x:v>
      </x:c>
      <x:c r="K7" s="14" t="str">
        <x:v>Direct arXiv PDF</x:v>
      </x:c>
      <x:c r="L7" s="14" t="str">
        <x:v>new papers(3).xlsx</x:v>
      </x:c>
      <x:c r="M7" s="14" t="n">
        <x:v>7</x:v>
      </x:c>
      <x:c r="N7" s="14" t="str">
        <x:v>PID6</x:v>
      </x:c>
      <x:c r="O7" s="14" t="str">
        <x:v>Deng, L., Jiang, Z., Cao, J., Pradel, M., &amp; Liu, Z. (2025). NoCode-bench: A Benchmark for Evaluating Natural Language-Driven Feature Addition. arXiv:2507.18130.</x:v>
      </x:c>
      <x:c r="P7" s="14" t="str">
        <x:v>Benchmark paper for natural-language-driven feature addition; valuable for evaluation section.</x:v>
      </x:c>
      <x:c r="Q7" s="14" t="n">
        <x:v>92</x:v>
      </x:c>
      <x:c r="R7" s="14" t="str">
        <x:v>no-code; benchmark; natural language-driven development; LLM; feature addition; software engineering</x:v>
      </x:c>
      <x:c r="S7" s="14" t="str">
        <x:v>The paper introduces NoCode-bench, a benchmark for evaluating LLMs on real-world natural-language-driven feature addition tasks. It pairs documentation updates with corresponding code implementations and developer-written tests across open-source projects to evaluate whether LLMs can perform feature addition from natural-language specifications.</x:v>
      </x:c>
    </x:row>
    <x:row r="8" ht="64" customHeight="1">
      <x:c r="A8" s="14" t="n">
        <x:v>7</x:v>
      </x:c>
      <x:c r="B8" s="14" t="str">
        <x:v>Original supplied record</x:v>
      </x:c>
      <x:c r="C8" s="14" t="str">
        <x:v>Final Top 50</x:v>
      </x:c>
      <x:c r="D8" s="14" t="n">
        <x:v>2025</x:v>
      </x:c>
      <x:c r="E8" s="14" t="str">
        <x:v>Review of Tools for Zero-Code LLM Based Application Development</x:v>
      </x:c>
      <x:c r="F8" s="14" t="str">
        <x:v>Priyaranjan Pattnayak; Hussain Bohra</x:v>
      </x:c>
      <x:c r="G8" s="14" t="str">
        <x:v>arXiv</x:v>
      </x:c>
      <x:c r="H8" s="14" t="str">
        <x:v>Zero-code LLM tools review</x:v>
      </x:c>
      <x:c r="I8" s="14" t="str">
        <x:v>https://arxiv.org/abs/2510.19747</x:v>
      </x:c>
      <x:c r="J8" s="14" t="str">
        <x:v>https://arxiv.org/pdf/2510.19747</x:v>
      </x:c>
      <x:c r="K8" s="14" t="str">
        <x:v>Direct arXiv PDF</x:v>
      </x:c>
      <x:c r="L8" s="14" t="str">
        <x:v>new papers(3).xlsx</x:v>
      </x:c>
      <x:c r="M8" s="14" t="n">
        <x:v>8</x:v>
      </x:c>
      <x:c r="N8" s="14" t="str">
        <x:v>PID7</x:v>
      </x:c>
      <x:c r="O8" s="14" t="str">
        <x:v>Pattnayak, P., &amp; Bohra, H. (2025). Review of Tools for Zero-Code LLM Based Application Development. arXiv:2510.19747.</x:v>
      </x:c>
      <x:c r="P8" s="14" t="str">
        <x:v>Directly aligned with low/no-code tools and LLM-based app-development tools.</x:v>
      </x:c>
      <x:c r="Q8" s="14" t="n">
        <x:v>91</x:v>
      </x:c>
      <x:c r="R8" s="14" t="str">
        <x:v>zero-code; LLM app builders; no-code; platform review; AI agents; orchestration</x:v>
      </x:c>
      <x:c r="S8" s="14" t="str">
        <x:v>This survey reviews tools that let users build applications without writing code by leveraging LLMs. It categorizes dedicated LLM app builders and general no-code platforms integrating LLM capabilities by interface style, backend integration, output type, extensibility, agents, memory, workflow orchestration and APIs.</x:v>
      </x:c>
    </x:row>
    <x:row r="9" ht="64" customHeight="1">
      <x:c r="A9" s="14" t="n">
        <x:v>8</x:v>
      </x:c>
      <x:c r="B9" s="14" t="str">
        <x:v>Original supplied record</x:v>
      </x:c>
      <x:c r="C9" s="14" t="str">
        <x:v>Final Top 50</x:v>
      </x:c>
      <x:c r="D9" s="14" t="n">
        <x:v>2026</x:v>
      </x:c>
      <x:c r="E9" s="14" t="str">
        <x:v>AI-for-Science Low-code Platform with Bayesian Adversarial Multi-Agent Framework</x:v>
      </x:c>
      <x:c r="F9" s="14" t="str">
        <x:v>Zihang Zeng; Jiaquan Zhang; Pengze Li; Yuan Qi; Xi Chen</x:v>
      </x:c>
      <x:c r="G9" s="14" t="str">
        <x:v>arXiv</x:v>
      </x:c>
      <x:c r="H9" s="14" t="str">
        <x:v>AI/LLM + science platform</x:v>
      </x:c>
      <x:c r="I9" s="14" t="str">
        <x:v>https://arxiv.org/abs/2603.03233</x:v>
      </x:c>
      <x:c r="J9" s="14" t="str">
        <x:v>https://arxiv.org/pdf/2603.03233</x:v>
      </x:c>
      <x:c r="K9" s="14" t="str">
        <x:v>Direct arXiv PDF</x:v>
      </x:c>
      <x:c r="L9" s="14" t="str">
        <x:v>new papers(3).xlsx</x:v>
      </x:c>
      <x:c r="M9" s="14" t="n">
        <x:v>9</x:v>
      </x:c>
      <x:c r="N9" s="14" t="str">
        <x:v>PID8</x:v>
      </x:c>
      <x:c r="O9" s="14" t="str">
        <x:v>Zeng, Z., Zhang, J., Li, P., Qi, Y., &amp; Chen, X. (2026). AI-for-Science Low-code Platform with Bayesian Adversarial Multi-Agent Framework. arXiv:2603.03233.</x:v>
      </x:c>
      <x:c r="P9" s="14" t="str">
        <x:v>Most recent 2026 LCNC+AI platform paper; broad applicability beyond enterprise apps.</x:v>
      </x:c>
      <x:c r="Q9" s="14" t="n">
        <x:v>99</x:v>
      </x:c>
      <x:c r="R9" s="14" t="str">
        <x:v>low-code; AI for Science; multi-agent systems; Bayesian optimization; adversarial evaluation; scientific code generation</x:v>
      </x:c>
      <x:c r="S9" s="14" t="str">
        <x:v>The paper presents a low-code AI-for-Science platform using a Bayesian adversarial multi-agent framework. A task manager, code generator and evaluator coordinate to translate non-expert prompts into domain-specific requirements and iteratively refine tests and code using Bayesian updates and code-quality metrics.</x:v>
      </x:c>
    </x:row>
    <x:row r="10" ht="64" customHeight="1">
      <x:c r="A10" s="14" t="n">
        <x:v>9</x:v>
      </x:c>
      <x:c r="B10" s="14" t="str">
        <x:v>Original supplied record</x:v>
      </x:c>
      <x:c r="C10" s="14" t="str">
        <x:v>Final Top 50</x:v>
      </x:c>
      <x:c r="D10" s="14" t="n">
        <x:v>2026</x:v>
      </x:c>
      <x:c r="E10" s="14" t="str">
        <x:v>Low-code and no-code with BESSER to create and deploy smart web applications</x:v>
      </x:c>
      <x:c r="F10" s="14" t="str">
        <x:v>Iván Alfonso; Armen Sulejmani; Aaron Conrardy; Jordi Cabot</x:v>
      </x:c>
      <x:c r="G10" s="14" t="str">
        <x:v>arXiv</x:v>
      </x:c>
      <x:c r="H10" s="14" t="str">
        <x:v>Open-source LCNC platform</x:v>
      </x:c>
      <x:c r="I10" s="14" t="str">
        <x:v>https://arxiv.org/abs/2605.07376</x:v>
      </x:c>
      <x:c r="J10" s="14" t="str">
        <x:v>https://arxiv.org/pdf/2605.07376</x:v>
      </x:c>
      <x:c r="K10" s="14" t="str">
        <x:v>Direct arXiv PDF</x:v>
      </x:c>
      <x:c r="L10" s="14" t="str">
        <x:v>new papers(3).xlsx</x:v>
      </x:c>
      <x:c r="M10" s="14" t="n">
        <x:v>10</x:v>
      </x:c>
      <x:c r="N10" s="14" t="str">
        <x:v>PID9</x:v>
      </x:c>
      <x:c r="O10" s="14" t="str">
        <x:v>Alfonso, I., Sulejmani, A., Conrardy, A., &amp; Cabot, J. (2026). Low-code and no-code with BESSER to create and deploy smart web applications. arXiv:2605.07376.</x:v>
      </x:c>
      <x:c r="P10" s="14" t="str">
        <x:v>2026 BESSER smart web-app paper; useful for tool/platform architecture discussion.</x:v>
      </x:c>
      <x:c r="Q10" s="14" t="n">
        <x:v>98</x:v>
      </x:c>
      <x:c r="R10" s="14" t="str">
        <x:v>BESSER; low-code; no-code; smart web applications; AI agents; open source; web editor</x:v>
      </x:c>
      <x:c r="S10" s="14" t="str">
        <x:v>The paper presents the open-source BESSER low-code framework for designing, generating and deploying smart web applications with AI agents through a freely accessible web-based editor. It argues that open-source LCNC can reduce vendor lock-in and improve transparency and extensibility compared with commercial tools.</x:v>
      </x:c>
    </x:row>
    <x:row r="11" ht="64" customHeight="1">
      <x:c r="A11" s="14" t="n">
        <x:v>10</x:v>
      </x:c>
      <x:c r="B11" s="14" t="str">
        <x:v>Original supplied record</x:v>
      </x:c>
      <x:c r="C11" s="14" t="str">
        <x:v>Final Top 50</x:v>
      </x:c>
      <x:c r="D11" s="14" t="n">
        <x:v>2024</x:v>
      </x:c>
      <x:c r="E11" s="14" t="str">
        <x:v>Building BESSER: an open-source low-code platform</x:v>
      </x:c>
      <x:c r="F11" s="14" t="str">
        <x:v>Iván Alfonso; Aaron Conrardy; Armen Sulejmani; Atefeh Nirumand; Fitash Ul Haq; Marcos Gomez-Vazquez; Jean-Sébastien Sottet; Jordi Cabot</x:v>
      </x:c>
      <x:c r="G11" s="14" t="str">
        <x:v>arXiv</x:v>
      </x:c>
      <x:c r="H11" s="14" t="str">
        <x:v>Open-source platform</x:v>
      </x:c>
      <x:c r="I11" s="14" t="str">
        <x:v>https://arxiv.org/abs/2405.13620</x:v>
      </x:c>
      <x:c r="J11" s="14" t="str">
        <x:v>https://arxiv.org/pdf/2405.13620</x:v>
      </x:c>
      <x:c r="K11" s="14" t="str">
        <x:v>Direct arXiv PDF</x:v>
      </x:c>
      <x:c r="L11" s="14" t="str">
        <x:v>new papers(3).xlsx</x:v>
      </x:c>
      <x:c r="M11" s="14" t="n">
        <x:v>11</x:v>
      </x:c>
      <x:c r="N11" s="14" t="str">
        <x:v>PID10</x:v>
      </x:c>
      <x:c r="O11" s="14" t="str">
        <x:v>Alfonso, I., Conrardy, A., Sulejmani, A., Nirumand, A., Ul Haq, F., Gomez-Vazquez, M., Sottet, J.-S., &amp; Cabot, J. (2024). Building BESSER: an open-source low-code platform. arXiv:2405.13620.</x:v>
      </x:c>
      <x:c r="P11" s="14" t="str">
        <x:v>Open-source LC platform paper with architecture/tool-building relevance.</x:v>
      </x:c>
      <x:c r="Q11" s="14" t="n">
        <x:v>80</x:v>
      </x:c>
      <x:c r="R11" s="14" t="str">
        <x:v>BESSER; open-source low-code; model-driven engineering; smart software; UML; chatbot modeling</x:v>
      </x:c>
      <x:c r="S11" s="14" t="str">
        <x:v>The paper describes BESSER, an open-source low-code platform for developing smart software. It offers multiple notations for system/domain specification, such as UML for technical users and chatbots for business users, plus generators designed to be extensible and open to community contributions.</x:v>
      </x:c>
    </x:row>
    <x:row r="12" ht="64" customHeight="1">
      <x:c r="A12" s="14" t="n">
        <x:v>11</x:v>
      </x:c>
      <x:c r="B12" s="14" t="str">
        <x:v>Original supplied record</x:v>
      </x:c>
      <x:c r="C12" s="14" t="str">
        <x:v>Final Top 50</x:v>
      </x:c>
      <x:c r="D12" s="14" t="n">
        <x:v>2024</x:v>
      </x:c>
      <x:c r="E12" s="14" t="str">
        <x:v>An Empirical Study on Low Code Programming using Traditional vs Large Language Model Support</x:v>
      </x:c>
      <x:c r="F12" s="14" t="str">
        <x:v>Yongkun Liu; Jiachi Chen; Tingting Bi; John Grundy; Yanlin Wang; Jianxing Yu; Ting Chen; Yutian Tang; Zibin Zheng</x:v>
      </x:c>
      <x:c r="G12" s="14" t="str">
        <x:v>arXiv</x:v>
      </x:c>
      <x:c r="H12" s="14" t="str">
        <x:v>Empirical LCP + LLM</x:v>
      </x:c>
      <x:c r="I12" s="14" t="str">
        <x:v>https://arxiv.org/abs/2402.01156</x:v>
      </x:c>
      <x:c r="J12" s="14" t="str">
        <x:v>https://arxiv.org/pdf/2402.01156</x:v>
      </x:c>
      <x:c r="K12" s="14" t="str">
        <x:v>Direct arXiv PDF</x:v>
      </x:c>
      <x:c r="L12" s="14" t="str">
        <x:v>new papers(3).xlsx</x:v>
      </x:c>
      <x:c r="M12" s="14" t="n">
        <x:v>12</x:v>
      </x:c>
      <x:c r="N12" s="14" t="str">
        <x:v>PID11</x:v>
      </x:c>
      <x:c r="O12" s="14" t="str">
        <x:v>Liu, Y., Chen, J., Bi, T., Grundy, J., Wang, Y., Yu, J., Chen, T., Tang, Y., &amp; Zheng, Z. (2024). An Empirical Study on Low Code Programming using Traditional vs Large Language Model Support. arXiv:2402.01156.</x:v>
      </x:c>
      <x:c r="P12" s="14" t="str">
        <x:v>Important empirical comparison of traditional vs LLM support for low-code programming.</x:v>
      </x:c>
      <x:c r="Q12" s="14" t="n">
        <x:v>79</x:v>
      </x:c>
      <x:c r="R12" s="14" t="str">
        <x:v>low-code programming; LLM-based low-code; Stack Overflow; developer discussions; empirical software engineering</x:v>
      </x:c>
      <x:c r="S12" s="14" t="str">
        <x:v>The study compares traditional low-code programming with LLM-based low-code programming. It analyzes Stack Overflow discussions over three years to explore similarities and differences in features, usage scenarios, developer feedback, limitations and lifecycle integration.</x:v>
      </x:c>
    </x:row>
    <x:row r="13" ht="64" customHeight="1">
      <x:c r="A13" s="14" t="n">
        <x:v>12</x:v>
      </x:c>
      <x:c r="B13" s="14" t="str">
        <x:v>Original supplied record</x:v>
      </x:c>
      <x:c r="C13" s="14" t="str">
        <x:v>Screened out after title/abstract/quality screen</x:v>
      </x:c>
      <x:c r="D13" s="14" t="n">
        <x:v>2023</x:v>
      </x:c>
      <x:c r="E13" s="14" t="str">
        <x:v>Low-code LLM: Graphical User Interface over Large Language Models</x:v>
      </x:c>
      <x:c r="F13" s="14" t="str">
        <x:v>Yuzhe Cai; Shaoguang Mao; Wenshan Wu; Zehua Wang; Yaobo Liang; Tao Ge; Chenfei Wu; Wang You; Ting Song; Yan Xia; Jonathan Tien; Nan Duan; Furu Wei</x:v>
      </x:c>
      <x:c r="G13" s="14" t="str">
        <x:v>arXiv</x:v>
      </x:c>
      <x:c r="H13" s="14" t="str">
        <x:v>AI/LLM + LCNC</x:v>
      </x:c>
      <x:c r="I13" s="14" t="str">
        <x:v>https://arxiv.org/abs/2304.08103</x:v>
      </x:c>
      <x:c r="J13" s="14" t="str"/>
      <x:c r="K13" s="14" t="str">
        <x:v>Original URL only; not re-verified in this expansion pass</x:v>
      </x:c>
      <x:c r="L13" s="14" t="str">
        <x:v>new papers(3).xlsx</x:v>
      </x:c>
      <x:c r="M13" s="14" t="n">
        <x:v>13</x:v>
      </x:c>
      <x:c r="N13" s="14" t="str">
        <x:v>PID12</x:v>
      </x:c>
      <x:c r="O13" s="14" t="str">
        <x:v>Cai, Y., Mao, S., Wu, W., Wang, Z., Liang, Y., Ge, T., Wu, C., You, W., Song, T., Xia, Y., Tien, J., Duan, N., &amp; Wei, F. (2023). Low-code LLM: Graphical User Interface over Large Language Models. arXiv:2304.08103.</x:v>
      </x:c>
      <x:c r="P13" s="14" t="str"/>
      <x:c r="Q13" s="14" t="n">
        <x:v>40</x:v>
      </x:c>
      <x:c r="R13" s="14" t="str">
        <x:v>low-code LLM; GUI; visual programming; prompt engineering; human-LLM interaction; TaskMatrix</x:v>
      </x:c>
      <x:c r="S13" s="14" t="str">
        <x:v>The paper introduces Low-code LLM, a human-LLM interaction framework with six low-code visual programming interactions for controllable and stable LLM responses. It uses a Planning LLM to design a structured workflow that users can edit/confirm through a GUI and an Executing LLM to generate outputs following the workflow.</x:v>
      </x:c>
    </x:row>
    <x:row r="14" ht="64" customHeight="1">
      <x:c r="A14" s="14" t="n">
        <x:v>13</x:v>
      </x:c>
      <x:c r="B14" s="14" t="str">
        <x:v>Original supplied record</x:v>
      </x:c>
      <x:c r="C14" s="14" t="str">
        <x:v>Final Top 50</x:v>
      </x:c>
      <x:c r="D14" s="14" t="n">
        <x:v>2025</x:v>
      </x:c>
      <x:c r="E14" s="14" t="str">
        <x:v>Towards LLM-powered consistency in model-based low-code platforms</x:v>
      </x:c>
      <x:c r="F14" s="14" t="str">
        <x:v>Authors not verified from open metadata in this session</x:v>
      </x:c>
      <x:c r="G14" s="14" t="str">
        <x:v>KITopen / Karlsruhe Institute of Technology</x:v>
      </x:c>
      <x:c r="H14" s="14" t="str">
        <x:v>Model-based LC + LLM consistency</x:v>
      </x:c>
      <x:c r="I14" s="14" t="str">
        <x:v>https://publikationen.bibliothek.kit.edu/1000180779</x:v>
      </x:c>
      <x:c r="J14" s="14" t="str">
        <x:v>https://publikationen.bibliothek.kit.edu/1000180779/164563597</x:v>
      </x:c>
      <x:c r="K14" s="14" t="str">
        <x:v>Repository PDF</x:v>
      </x:c>
      <x:c r="L14" s="14" t="str">
        <x:v>new papers(3).xlsx</x:v>
      </x:c>
      <x:c r="M14" s="14" t="n">
        <x:v>14</x:v>
      </x:c>
      <x:c r="N14" s="14" t="str">
        <x:v>PID13</x:v>
      </x:c>
      <x:c r="O14" s="14" t="str">
        <x:v>Towards LLM-powered consistency in model-based low-code platforms. (2025). KITopen.</x:v>
      </x:c>
      <x:c r="P14" s="14" t="str">
        <x:v>Adds model-based low-code consistency angle; credible repository page and PDF.</x:v>
      </x:c>
      <x:c r="Q14" s="14" t="n">
        <x:v>90</x:v>
      </x:c>
      <x:c r="R14" s="14" t="str">
        <x:v>low-code; model-based engineering; LLM; consistency; model validation</x:v>
      </x:c>
      <x:c r="S14" s="14" t="str">
        <x:v>Open metadata indicates a 2025 paper on using LLMs to improve consistency in model-based low-code platforms. Full abstract/details were not reliably available through the accessible search results in this session.</x:v>
      </x:c>
    </x:row>
    <x:row r="15" ht="64" customHeight="1">
      <x:c r="A15" s="14" t="n">
        <x:v>14</x:v>
      </x:c>
      <x:c r="B15" s="14" t="str">
        <x:v>Original supplied record</x:v>
      </x:c>
      <x:c r="C15" s="14" t="str">
        <x:v>Final Top 50</x:v>
      </x:c>
      <x:c r="D15" s="14" t="n">
        <x:v>2024</x:v>
      </x:c>
      <x:c r="E15" s="14" t="str">
        <x:v>Turning Low-Code Development Platforms into True No-Code with LLMs</x:v>
      </x:c>
      <x:c r="F15" s="14" t="str">
        <x:v>Authors not verified from open metadata in this session</x:v>
      </x:c>
      <x:c r="G15" s="14" t="str">
        <x:v>ResearchGate / conference or preprint page</x:v>
      </x:c>
      <x:c r="H15" s="14" t="str">
        <x:v>LLM-enhanced no-code</x:v>
      </x:c>
      <x:c r="I15" s="14" t="str">
        <x:v>https://dl.acm.org/doi/10.1145/3652620.3688334</x:v>
      </x:c>
      <x:c r="J15" s="14" t="str">
        <x:v>https://hal.science/hal-04730443v1/file/Turning_Low_Code_Development_Platforms_into_True_No_Code_preprint.pdf</x:v>
      </x:c>
      <x:c r="K15" s="14" t="str">
        <x:v>Author preprint PDF</x:v>
      </x:c>
      <x:c r="L15" s="14" t="str">
        <x:v>new papers(3).xlsx</x:v>
      </x:c>
      <x:c r="M15" s="14" t="n">
        <x:v>15</x:v>
      </x:c>
      <x:c r="N15" s="14" t="str">
        <x:v>PID14</x:v>
      </x:c>
      <x:c r="O15" s="14" t="str">
        <x:v>Turning Low-Code Development Platforms into True No-Code with LLMs. (2024). ResearchGate listing.</x:v>
      </x:c>
      <x:c r="P15" s="14" t="str">
        <x:v>Highly relevant ACM/LLM paper on transforming low-code to no-code interactions.</x:v>
      </x:c>
      <x:c r="Q15" s="14" t="n">
        <x:v>78</x:v>
      </x:c>
      <x:c r="R15" s="14" t="str">
        <x:v>low-code; no-code; LLM; natural-language interfaces; citizen developers</x:v>
      </x:c>
      <x:c r="S15" s="14" t="str">
        <x:v>ResearchGate page title suggests a paper on using LLMs to transform low-code platforms into more no-code-like systems. A legal direct PDF/abstract was not verified in this session.</x:v>
      </x:c>
    </x:row>
    <x:row r="16" ht="64" customHeight="1">
      <x:c r="A16" s="14" t="n">
        <x:v>15</x:v>
      </x:c>
      <x:c r="B16" s="14" t="str">
        <x:v>Original supplied record</x:v>
      </x:c>
      <x:c r="C16" s="14" t="str">
        <x:v>Final Top 50</x:v>
      </x:c>
      <x:c r="D16" s="14" t="n">
        <x:v>2025</x:v>
      </x:c>
      <x:c r="E16" s="14" t="str">
        <x:v>Low-Code and No-Code Development in the Era of Artificial Intelligence: A Systematic Review</x:v>
      </x:c>
      <x:c r="F16" s="14" t="str">
        <x:v>Authors not verified from open metadata in this session</x:v>
      </x:c>
      <x:c r="G16" s="14" t="str">
        <x:v>ResearchGate / systematic review page</x:v>
      </x:c>
      <x:c r="H16" s="14" t="str">
        <x:v>AI-era LCNC SLR</x:v>
      </x:c>
      <x:c r="I16" s="14" t="str">
        <x:v>https://dm.ageditor.ar/index.php/dm/article/view/1218</x:v>
      </x:c>
      <x:c r="J16" s="14" t="str">
        <x:v>https://dm.ageditor.ar/index.php/dm/article/download/1218/1356/6654</x:v>
      </x:c>
      <x:c r="K16" s="14" t="str">
        <x:v>Open-access journal PDF</x:v>
      </x:c>
      <x:c r="L16" s="14" t="str">
        <x:v>new papers(3).xlsx</x:v>
      </x:c>
      <x:c r="M16" s="14" t="n">
        <x:v>16</x:v>
      </x:c>
      <x:c r="N16" s="14" t="str">
        <x:v>PID15</x:v>
      </x:c>
      <x:c r="O16" s="14" t="str">
        <x:v>Low-Code and No-Code Development in the Era of Artificial Intelligence: A Systematic Review. (2025). ResearchGate listing.</x:v>
      </x:c>
      <x:c r="P16" s="14" t="str">
        <x:v>Recent SLR that helps anchor the review paper's AI-era taxonomy.</x:v>
      </x:c>
      <x:c r="Q16" s="14" t="n">
        <x:v>89</x:v>
      </x:c>
      <x:c r="R16" s="14" t="str">
        <x:v>low-code; no-code; artificial intelligence; systematic review; generative AI; citizen development</x:v>
      </x:c>
      <x:c r="S16" s="14" t="str">
        <x:v>ResearchGate title indicates a systematic review of LCNC development in the AI era. A legal direct PDF/abstract was not verified in this session.</x:v>
      </x:c>
    </x:row>
    <x:row r="17" ht="64" customHeight="1">
      <x:c r="A17" s="14" t="n">
        <x:v>16</x:v>
      </x:c>
      <x:c r="B17" s="14" t="str">
        <x:v>Original supplied record</x:v>
      </x:c>
      <x:c r="C17" s="14" t="str">
        <x:v>Final Top 50</x:v>
      </x:c>
      <x:c r="D17" s="14" t="n">
        <x:v>2026</x:v>
      </x:c>
      <x:c r="E17" s="14" t="str">
        <x:v>Design Behaviour and Interface Consistency in Generative No-Code Tools: A Systematic Literature Review</x:v>
      </x:c>
      <x:c r="F17" s="14" t="str">
        <x:v>Authors not verified from open metadata in this session</x:v>
      </x:c>
      <x:c r="G17" s="14" t="str">
        <x:v>MDPI Computers</x:v>
      </x:c>
      <x:c r="H17" s="14" t="str">
        <x:v>Generative no-code SLR</x:v>
      </x:c>
      <x:c r="I17" s="14" t="str">
        <x:v>https://www.mdpi.com/2073-431X/15/4/238</x:v>
      </x:c>
      <x:c r="J17" s="14" t="str">
        <x:v>https://www.mdpi.com/2073-431X/15/4/238/pdf</x:v>
      </x:c>
      <x:c r="K17" s="14" t="str">
        <x:v>Open-access publisher PDF</x:v>
      </x:c>
      <x:c r="L17" s="14" t="str">
        <x:v>new papers(3).xlsx</x:v>
      </x:c>
      <x:c r="M17" s="14" t="n">
        <x:v>17</x:v>
      </x:c>
      <x:c r="N17" s="14" t="str">
        <x:v>PID16</x:v>
      </x:c>
      <x:c r="O17" s="14" t="str">
        <x:v>Design Behaviour and Interface Consistency in Generative No-Code Tools: A Systematic Literature Review. (2026). Computers, 15(4), 238.</x:v>
      </x:c>
      <x:c r="P17" s="14" t="str">
        <x:v>Newest systematic review focused on generative no-code interface consistency.</x:v>
      </x:c>
      <x:c r="Q17" s="14" t="n">
        <x:v>97</x:v>
      </x:c>
      <x:c r="R17" s="14" t="str">
        <x:v>generative no-code; interface consistency; design behaviour; systematic literature review; UX</x:v>
      </x:c>
      <x:c r="S17" s="14" t="str">
        <x:v>The title indicates a systematic literature review of design behaviour and interface consistency in generative no-code tools. A verified abstract was not accessible from the search results in this session.</x:v>
      </x:c>
    </x:row>
    <x:row r="18" ht="64" customHeight="1">
      <x:c r="A18" s="14" t="n">
        <x:v>17</x:v>
      </x:c>
      <x:c r="B18" s="14" t="str">
        <x:v>Original supplied record</x:v>
      </x:c>
      <x:c r="C18" s="14" t="str">
        <x:v>Screened out after title/abstract/quality screen</x:v>
      </x:c>
      <x:c r="D18" s="14" t="n">
        <x:v>2026</x:v>
      </x:c>
      <x:c r="E18" s="14" t="str">
        <x:v>From Prompt to Production: Evaluating Generative AI-Augmented No-Code Platforms</x:v>
      </x:c>
      <x:c r="F18" s="14" t="str">
        <x:v>Elena Rostova, David Chen</x:v>
      </x:c>
      <x:c r="G18" s="14" t="str">
        <x:v>IEEE Transactions on Software Engineering</x:v>
      </x:c>
      <x:c r="H18" s="14" t="str">
        <x:v>AI/LLM + LCNC</x:v>
      </x:c>
      <x:c r="I18" s="14" t="str">
        <x:v>https://doi.org/10.1109/TSE.2026.1010101</x:v>
      </x:c>
      <x:c r="J18" s="14" t="str"/>
      <x:c r="K18" s="14" t="str">
        <x:v>Original URL only; not re-verified in this expansion pass</x:v>
      </x:c>
      <x:c r="L18" s="14" t="str">
        <x:v>new papers(3).xlsx</x:v>
      </x:c>
      <x:c r="M18" s="14" t="n">
        <x:v>18</x:v>
      </x:c>
      <x:c r="N18" s="14" t="str">
        <x:v>PID17</x:v>
      </x:c>
      <x:c r="O18" s="14" t="str">
        <x:v>Rostova, E., &amp; Chen, D. (2026). From Prompt to Production: Evaluating Generative AI-Augmented No-Code Platforms. IEEE Transactions on Software Engineering, 52(6), 112-130.</x:v>
      </x:c>
      <x:c r="P18" s="14" t="str"/>
      <x:c r="Q18" s="14" t="n">
        <x:v>40</x:v>
      </x:c>
      <x:c r="R18" s="14" t="str">
        <x:v>Generative AI, Text-to-App, No-Code, LLM, Software Engineering</x:v>
      </x:c>
      <x:c r="S18" s="14" t="str">
        <x:v>This paper investigates the integration of Large Language Models (LLMs) into No-Code platforms, enabling text-to-application capabilities. We evaluated major platforms updated in early 2026 to measure efficiency gains and debugging complexities in natural language driven application development.</x:v>
      </x:c>
    </x:row>
    <x:row r="19" ht="64" customHeight="1">
      <x:c r="A19" s="14" t="n">
        <x:v>18</x:v>
      </x:c>
      <x:c r="B19" s="14" t="str">
        <x:v>Original supplied record</x:v>
      </x:c>
      <x:c r="C19" s="14" t="str">
        <x:v>Screened out after title/abstract/quality screen</x:v>
      </x:c>
      <x:c r="D19" s="14" t="n">
        <x:v>2026</x:v>
      </x:c>
      <x:c r="E19" s="14" t="str">
        <x:v>Taming Shadow IT in 2026: Automated Governance Frameworks for Low-Code Enterprise Ecosystems</x:v>
      </x:c>
      <x:c r="F19" s="14" t="str">
        <x:v>Marcus O'Brien, Sarah Jenkins</x:v>
      </x:c>
      <x:c r="G19" s="14" t="str">
        <x:v>ACM Digital Library</x:v>
      </x:c>
      <x:c r="H19" s="14" t="str">
        <x:v>Security / governance / risk</x:v>
      </x:c>
      <x:c r="I19" s="14" t="str">
        <x:v>https://doi.org/10.1145/3629485.3629500</x:v>
      </x:c>
      <x:c r="J19" s="14" t="str"/>
      <x:c r="K19" s="14" t="str">
        <x:v>Original URL only; not re-verified in this expansion pass</x:v>
      </x:c>
      <x:c r="L19" s="14" t="str">
        <x:v>new papers(3).xlsx</x:v>
      </x:c>
      <x:c r="M19" s="14" t="n">
        <x:v>19</x:v>
      </x:c>
      <x:c r="N19" s="14" t="str">
        <x:v>PID18</x:v>
      </x:c>
      <x:c r="O19" s="14" t="str">
        <x:v>O'Brien, M., &amp; Jenkins, S. (2026). Taming Shadow IT in 2026: Automated Governance Frameworks for Low-Code Enterprise Ecosystems. ACM Symposium on Cloud Computing.</x:v>
      </x:c>
      <x:c r="P19" s="14" t="str"/>
      <x:c r="Q19" s="14" t="n">
        <x:v>40</x:v>
      </x:c>
      <x:c r="R19" s="14" t="str">
        <x:v>Shadow IT, Enterprise Governance, CI/CD, Low-Code, IT Security</x:v>
      </x:c>
      <x:c r="S19" s="14" t="str">
        <x:v>As citizen development scales across global enterprises, shadow IT remains a critical risk. This paper proposes a novel automated governance framework that integrates seamlessly into enterprise LCNC platforms, offering real-time compliance checking and automated CI/CD pipeline enforcement without stifling citizen developer creativity.</x:v>
      </x:c>
    </x:row>
    <x:row r="20" ht="64" customHeight="1">
      <x:c r="A20" s="14" t="n">
        <x:v>19</x:v>
      </x:c>
      <x:c r="B20" s="14" t="str">
        <x:v>Original supplied record</x:v>
      </x:c>
      <x:c r="C20" s="14" t="str">
        <x:v>Screened out after title/abstract/quality screen</x:v>
      </x:c>
      <x:c r="D20" s="14" t="n">
        <x:v>2025</x:v>
      </x:c>
      <x:c r="E20" s="14" t="str">
        <x:v>Visual Programming for Edge Devices: A No-Code Approach to IoT Deployment</x:v>
      </x:c>
      <x:c r="F20" s="14" t="str">
        <x:v>Aarav Patel, Liam Wright</x:v>
      </x:c>
      <x:c r="G20" s="14" t="str">
        <x:v>Elsevier - Internet of Things</x:v>
      </x:c>
      <x:c r="H20" s="14" t="str">
        <x:v>IoT / end-user automation</x:v>
      </x:c>
      <x:c r="I20" s="14" t="str">
        <x:v>https://doi.org/10.1016/j.iot.2025.100892</x:v>
      </x:c>
      <x:c r="J20" s="14" t="str"/>
      <x:c r="K20" s="14" t="str">
        <x:v>Original URL only; not re-verified in this expansion pass</x:v>
      </x:c>
      <x:c r="L20" s="14" t="str">
        <x:v>new papers(3).xlsx</x:v>
      </x:c>
      <x:c r="M20" s="14" t="n">
        <x:v>20</x:v>
      </x:c>
      <x:c r="N20" s="14" t="str">
        <x:v>PID19</x:v>
      </x:c>
      <x:c r="O20" s="14" t="str">
        <x:v>Patel, A., &amp; Wright, L. (2025). Visual Programming for Edge Devices: A No-Code Approach to IoT Deployment. Internet of Things, 31, 100892.</x:v>
      </x:c>
      <x:c r="P20" s="14" t="str"/>
      <x:c r="Q20" s="14" t="n">
        <x:v>40</x:v>
      </x:c>
      <x:c r="R20" s="14" t="str">
        <x:v>Edge Computing, IoT, Node-RED, Visual Programming, Sensor Networks</x:v>
      </x:c>
      <x:c r="S20" s="14" t="str">
        <x:v>Deploying edge computing logic to distributed IoT devices traditionally requires specialized embedded C/C++ knowledge. This research presents an evaluation of No-Code platforms adapted for edge deployment, allowing non-engineers to design sensor data filtering and basic machine learning inference pipelines visually.</x:v>
      </x:c>
    </x:row>
    <x:row r="21" ht="64" customHeight="1">
      <x:c r="A21" s="14" t="n">
        <x:v>20</x:v>
      </x:c>
      <x:c r="B21" s="14" t="str">
        <x:v>Original supplied record</x:v>
      </x:c>
      <x:c r="C21" s="14" t="str">
        <x:v>Screened out after title/abstract/quality screen</x:v>
      </x:c>
      <x:c r="D21" s="14" t="n">
        <x:v>2025</x:v>
      </x:c>
      <x:c r="E21" s="14" t="str">
        <x:v>The Carbon Footprint of Democratization: Energy Efficiency of Low-Code Generated Applications</x:v>
      </x:c>
      <x:c r="F21" s="14" t="str">
        <x:v>Chloe Dubois, Henrik Muller</x:v>
      </x:c>
      <x:c r="G21" s="14" t="str">
        <x:v>IEEE Transactions on Sustainable Computing</x:v>
      </x:c>
      <x:c r="H21" s="14" t="str">
        <x:v>General LCNC</x:v>
      </x:c>
      <x:c r="I21" s="14" t="str">
        <x:v>https://doi.org/10.1109/TSS.2025.2901111</x:v>
      </x:c>
      <x:c r="J21" s="14" t="str"/>
      <x:c r="K21" s="14" t="str">
        <x:v>Original URL only; not re-verified in this expansion pass</x:v>
      </x:c>
      <x:c r="L21" s="14" t="str">
        <x:v>new papers(3).xlsx</x:v>
      </x:c>
      <x:c r="M21" s="14" t="n">
        <x:v>21</x:v>
      </x:c>
      <x:c r="N21" s="14" t="str">
        <x:v>PID20</x:v>
      </x:c>
      <x:c r="O21" s="14" t="str">
        <x:v>Dubois, C., &amp; Muller, H. (2025). The Carbon Footprint of Democratization: Energy Efficiency of Low-Code Generated Applications. IEEE Transactions on Sustainable Computing.</x:v>
      </x:c>
      <x:c r="P21" s="14" t="str"/>
      <x:c r="Q21" s="14" t="n">
        <x:v>40</x:v>
      </x:c>
      <x:c r="R21" s="14" t="str">
        <x:v>Green Computing, Sustainability, Code Efficiency, Low-Code overhead</x:v>
      </x:c>
      <x:c r="S21" s="14" t="str">
        <x:v>With the exponential rise in applications generated via LCNC platforms, understanding their environmental impact is crucial. This paper conducts a comparative analysis of the runtime energy consumption of applications built via Low-Code vs. those hand-coded in modern web frameworks.</x:v>
      </x:c>
    </x:row>
    <x:row r="22" ht="64" customHeight="1">
      <x:c r="A22" s="14" t="n">
        <x:v>21</x:v>
      </x:c>
      <x:c r="B22" s="14" t="str">
        <x:v>Original supplied record</x:v>
      </x:c>
      <x:c r="C22" s="14" t="str">
        <x:v>Screened out after title/abstract/quality screen</x:v>
      </x:c>
      <x:c r="D22" s="14" t="n">
        <x:v>2026</x:v>
      </x:c>
      <x:c r="E22" s="14" t="str">
        <x:v>Vulnerability Injection in AI-Assisted Low-Code Platforms: A June 2026 Threat Landscape</x:v>
      </x:c>
      <x:c r="F22" s="14" t="str">
        <x:v>Zhihao Lin, Maria Gonzalez</x:v>
      </x:c>
      <x:c r="G22" s="14" t="str">
        <x:v>ACM Digital Library</x:v>
      </x:c>
      <x:c r="H22" s="14" t="str">
        <x:v>AI/LLM + LCNC</x:v>
      </x:c>
      <x:c r="I22" s="14" t="str">
        <x:v>https://doi.org/10.1145/3650000.3650123</x:v>
      </x:c>
      <x:c r="J22" s="14" t="str"/>
      <x:c r="K22" s="14" t="str">
        <x:v>Original URL only; not re-verified in this expansion pass</x:v>
      </x:c>
      <x:c r="L22" s="14" t="str">
        <x:v>new papers(3).xlsx</x:v>
      </x:c>
      <x:c r="M22" s="14" t="n">
        <x:v>22</x:v>
      </x:c>
      <x:c r="N22" s="14" t="str">
        <x:v>PID21</x:v>
      </x:c>
      <x:c r="O22" s="14" t="str">
        <x:v>Lin, Z., &amp; Gonzalez, M. (2026). Vulnerability Injection in AI-Assisted Low-Code Platforms. ACM CCS 2026.</x:v>
      </x:c>
      <x:c r="P22" s="14" t="str"/>
      <x:c r="Q22" s="14" t="n">
        <x:v>40</x:v>
      </x:c>
      <x:c r="R22" s="14" t="str">
        <x:v>Cybersecurity, Prompt Injection, AI-Assisted Development, Low-Code Security</x:v>
      </x:c>
      <x:c r="S22" s="14" t="str">
        <x:v>As LCNC platforms integrate conversational AI to assist citizen developers, new attack vectors emerge. This paper analyzes how malicious prompts can inject vulnerabilities (such as insecure API endpoints and bypasses) into the visually generated logic of No-Code applications.</x:v>
      </x:c>
    </x:row>
    <x:row r="23" ht="64" customHeight="1">
      <x:c r="A23" s="14" t="n">
        <x:v>22</x:v>
      </x:c>
      <x:c r="B23" s="14" t="str">
        <x:v>Original supplied record</x:v>
      </x:c>
      <x:c r="C23" s="14" t="str">
        <x:v>Screened out after title/abstract/quality screen</x:v>
      </x:c>
      <x:c r="D23" s="14" t="n">
        <x:v>2025</x:v>
      </x:c>
      <x:c r="E23" s="14" t="str">
        <x:v>Domain-Specific No-Code: Rapid Development of HIPAA-Compliant Telehealth Micro-Apps</x:v>
      </x:c>
      <x:c r="F23" s="14" t="str">
        <x:v>Dr. Emily Carter, James O'Connor</x:v>
      </x:c>
      <x:c r="G23" s="14" t="str">
        <x:v>Elsevier - Journal of Biomedical Informatics</x:v>
      </x:c>
      <x:c r="H23" s="14" t="str">
        <x:v>General LCNC</x:v>
      </x:c>
      <x:c r="I23" s="14" t="str">
        <x:v>https://doi.org/10.1016/j.jbi.2025.104221</x:v>
      </x:c>
      <x:c r="J23" s="14" t="str"/>
      <x:c r="K23" s="14" t="str">
        <x:v>Original URL only; not re-verified in this expansion pass</x:v>
      </x:c>
      <x:c r="L23" s="14" t="str">
        <x:v>new papers(3).xlsx</x:v>
      </x:c>
      <x:c r="M23" s="14" t="n">
        <x:v>23</x:v>
      </x:c>
      <x:c r="N23" s="14" t="str">
        <x:v>PID22</x:v>
      </x:c>
      <x:c r="O23" s="14" t="str">
        <x:v>Carter, E., &amp; O'Connor, J. (2025). Domain-Specific No-Code: Rapid Development of HIPAA-Compliant Telehealth Micro-Apps. Journal of Biomedical Informatics, 158, 104221.</x:v>
      </x:c>
      <x:c r="P23" s="14" t="str"/>
      <x:c r="Q23" s="14" t="n">
        <x:v>40</x:v>
      </x:c>
      <x:c r="R23" s="14" t="str">
        <x:v>Healthcare IT, HIPAA, Domain-Specific Languages, Telehealth, No-Code</x:v>
      </x:c>
      <x:c r="S23" s="14" t="str">
        <x:v>General-purpose LCNC platforms often fail to meet strict healthcare compliance out of the box. This paper evaluates a new wave of Domain-Specific No-Code (DSNC) platforms tailored specifically for healthcare, focusing on built-in HIPAA compliance, FHIR data standard integration, and auditability.</x:v>
      </x:c>
    </x:row>
    <x:row r="24" ht="64" customHeight="1">
      <x:c r="A24" s="14" t="n">
        <x:v>23</x:v>
      </x:c>
      <x:c r="B24" s="14" t="str">
        <x:v>Original supplied record</x:v>
      </x:c>
      <x:c r="C24" s="14" t="str">
        <x:v>Screened out after title/abstract/quality screen</x:v>
      </x:c>
      <x:c r="D24" s="14" t="n">
        <x:v>2025</x:v>
      </x:c>
      <x:c r="E24" s="14" t="str">
        <x:v>Citizen Developers and the Accumulation of Technical Debt: A Longitudinal Study (2022-2025)</x:v>
      </x:c>
      <x:c r="F24" s="14" t="str">
        <x:v>Thomas Wagner, Yuki Tanaka</x:v>
      </x:c>
      <x:c r="G24" s="14" t="str">
        <x:v>Springer - Empirical Software Engineering</x:v>
      </x:c>
      <x:c r="H24" s="14" t="str">
        <x:v>Adoption / citizen development</x:v>
      </x:c>
      <x:c r="I24" s="14" t="str">
        <x:v>https://doi.org/10.1007/s10664-025-10299-w</x:v>
      </x:c>
      <x:c r="J24" s="14" t="str"/>
      <x:c r="K24" s="14" t="str">
        <x:v>Original URL only; not re-verified in this expansion pass</x:v>
      </x:c>
      <x:c r="L24" s="14" t="str">
        <x:v>new papers(3).xlsx</x:v>
      </x:c>
      <x:c r="M24" s="14" t="n">
        <x:v>24</x:v>
      </x:c>
      <x:c r="N24" s="14" t="str">
        <x:v>PID23</x:v>
      </x:c>
      <x:c r="O24" s="14" t="str">
        <x:v>Wagner, T., &amp; Tanaka, Y. (2025). Citizen Developers and the Accumulation of Technical Debt: A Longitudinal Study (2022-2025). Empirical Software Engineering, 30(2), 45-67.</x:v>
      </x:c>
      <x:c r="P24" s="14" t="str"/>
      <x:c r="Q24" s="14" t="n">
        <x:v>40</x:v>
      </x:c>
      <x:c r="R24" s="14" t="str">
        <x:v>Technical Debt, Citizen Developer, Maintainability, Software Evolution, Low-Code</x:v>
      </x:c>
      <x:c r="S24" s="14" t="str">
        <x:v>While LCNC platforms promise rapid initial delivery, the long-term maintainability of citizen-developed applications is underexplored. This longitudinal study tracks 50 LCNC enterprise applications from their inception in 2022 to late 2025, measuring the accumulation of visual technical debt.</x:v>
      </x:c>
    </x:row>
    <x:row r="25" ht="64" customHeight="1">
      <x:c r="A25" s="14" t="n">
        <x:v>24</x:v>
      </x:c>
      <x:c r="B25" s="14" t="str">
        <x:v>Original supplied record</x:v>
      </x:c>
      <x:c r="C25" s="14" t="str">
        <x:v>Screened out after title/abstract/quality screen</x:v>
      </x:c>
      <x:c r="D25" s="14" t="n">
        <x:v>2026</x:v>
      </x:c>
      <x:c r="E25" s="14" t="str">
        <x:v>No-Code Spatial Computing: Drag-and-Drop Development for Mixed Reality Environments</x:v>
      </x:c>
      <x:c r="F25" s="14" t="str">
        <x:v>Samantha Lee, Omar Al-Fayed</x:v>
      </x:c>
      <x:c r="G25" s="14" t="str">
        <x:v>IEEE Transactions on Visualization and Computer Graphics</x:v>
      </x:c>
      <x:c r="H25" s="14" t="str">
        <x:v>General LCNC</x:v>
      </x:c>
      <x:c r="I25" s="14" t="str">
        <x:v>https://doi.org/10.1109/TVCG.2026.3112233</x:v>
      </x:c>
      <x:c r="J25" s="14" t="str"/>
      <x:c r="K25" s="14" t="str">
        <x:v>Original URL only; not re-verified in this expansion pass</x:v>
      </x:c>
      <x:c r="L25" s="14" t="str">
        <x:v>new papers(3).xlsx</x:v>
      </x:c>
      <x:c r="M25" s="14" t="n">
        <x:v>25</x:v>
      </x:c>
      <x:c r="N25" s="14" t="str">
        <x:v>PID24</x:v>
      </x:c>
      <x:c r="O25" s="14" t="str">
        <x:v>Lee, S., &amp; Al-Fayed, O. (2026). No-Code Spatial Computing: Drag-and-Drop Development for Mixed Reality Environments. IEEE TVCG, 32(4), 400-415.</x:v>
      </x:c>
      <x:c r="P25" s="14" t="str"/>
      <x:c r="Q25" s="14" t="n">
        <x:v>40</x:v>
      </x:c>
      <x:c r="R25" s="14" t="str">
        <x:v>Spatial Computing, Mixed Reality, AR/VR, No-Code 3D, Apple Vision Pro</x:v>
      </x:c>
      <x:c r="S25" s="14" t="str">
        <x:v>The advent of advanced spatial computing headsets in 2024-2025 created a demand for MR applications. This paper explores the 2026 generation of 3D No-Code platforms that allow users to build immersive Augmented Reality (AR) enterprise training modules using drag-and-drop spatial logic.</x:v>
      </x:c>
    </x:row>
    <x:row r="26" ht="64" customHeight="1">
      <x:c r="A26" s="14" t="n">
        <x:v>25</x:v>
      </x:c>
      <x:c r="B26" s="14" t="str">
        <x:v>Original supplied record</x:v>
      </x:c>
      <x:c r="C26" s="14" t="str">
        <x:v>Screened out after title/abstract/quality screen</x:v>
      </x:c>
      <x:c r="D26" s="14" t="n">
        <x:v>2022</x:v>
      </x:c>
      <x:c r="E26" s="14" t="str">
        <x:v>Beyond Coding: A Comprehensive Study of Low-Code, No-Code 
and Traditional Automation</x:v>
      </x:c>
      <x:c r="F26" s="14" t="str">
        <x:v>Rohit Khankhoje</x:v>
      </x:c>
      <x:c r="G26" s="14" t="str">
        <x:v>Journal of Artificial Intelligence &amp; 
Cloud Computing</x:v>
      </x:c>
      <x:c r="H26" s="14" t="str">
        <x:v>General LCNC</x:v>
      </x:c>
      <x:c r="I26" s="14" t="str">
        <x:v>https://www.researchgate.net/profile/Rohit-Khankhoje/publication/376885521_Beyond_Coding_A_Comprehensive_Study_of_Low-Code_No-Code_and_Traditional_Automation/links/658d84170bb2c7472b1815f8/Beyond-Coding-A-Comprehensive-Study-of-Low-Code-No-Code-and-Traditional-Automation.pdf</x:v>
      </x:c>
      <x:c r="J26" s="14" t="str"/>
      <x:c r="K26" s="14" t="str">
        <x:v>Original URL only; not re-verified in this expansion pass</x:v>
      </x:c>
      <x:c r="L26" s="14" t="str">
        <x:v>previous old papers(3).xlsx</x:v>
      </x:c>
      <x:c r="M26" s="14" t="n">
        <x:v>6</x:v>
      </x:c>
      <x:c r="N26" s="14" t="n">
        <x:v>1</x:v>
      </x:c>
      <x:c r="O26" s="14" t="str">
        <x:v>Khankhoje R. Beyond Coding: A Comprehensive Study of Low-Code, No-Code and Traditional Automation. Journal of Artificial Intelligence &amp; Cloud Computing. SRC/JAICC-160. DOI: doi. org/10.47363/JAICC/2022 (1). 2022;148:2-5.</x:v>
      </x:c>
      <x:c r="P26" s="14" t="str"/>
      <x:c r="Q26" s="14" t="n">
        <x:v>40</x:v>
      </x:c>
      <x:c r="R26" s="14" t="str">
        <x:v>Test Automation, Low-Code Automation, No-Code 
Automation, Traditional Test Automation</x:v>
      </x:c>
      <x:c r="S26" s="14" t="str">
        <x:v>The domain of software testing has undergone a transformative shift with the advent of automation technologies, particularly Low-Code and No-Code 
solutions in addition to conventional coding methods. This paper presents a comprehensive exploration of these three paradigms, delving into their 
strengths, weaknesses and applications in contemporary testing practices. 
We delve into the intricacies of Low-Code and No-Code automation, examining their potential to democratize testing beyond the traditional boundaries 
of coding. Through a comprehensive comparison of these approaches, our goal is to provide guidance to practitioners and decision-makers in selecting the 
most suitable strategy for their testing requirements, thereby ushering in a new era of efficiency and adaptability in software testing. Accompany us on a 
journey that goes beyond coding as we unravel the subtleties of Low-Code, No-Code and Traditional Automation in this innovative study.
</x:v>
      </x:c>
    </x:row>
    <x:row r="27" ht="64" customHeight="1">
      <x:c r="A27" s="14" t="n">
        <x:v>26</x:v>
      </x:c>
      <x:c r="B27" s="14" t="str">
        <x:v>Original supplied record</x:v>
      </x:c>
      <x:c r="C27" s="14" t="str">
        <x:v>Screened out after title/abstract/quality screen</x:v>
      </x:c>
      <x:c r="D27" s="14" t="n">
        <x:v>2023</x:v>
      </x:c>
      <x:c r="E27" s="14" t="str">
        <x:v>LOW-CODE VS. TRADITIONAL CODING: A COMPARATIVE STUDY</x:v>
      </x:c>
      <x:c r="F27" s="14" t="str">
        <x:v>Daja, Kleit </x:v>
      </x:c>
      <x:c r="G27" s="14" t="str"/>
      <x:c r="H27" s="14" t="str">
        <x:v>Adoption / citizen development</x:v>
      </x:c>
      <x:c r="I27" s="14" t="str">
        <x:v>https://view.officeapps.live.com/op/view.aspx?src=https%3A%2F%2Fdspace.epoka.edu.al%2Fbitstream%2Fhandle%2F1%2F2349%2Ffinal%2520draft%2520Kleit%2520Daja.docx%3Fsequence%3D1%26isAllowed%3Dy&amp;wdOrigin=BROWSELINK</x:v>
      </x:c>
      <x:c r="J27" s="14" t="str"/>
      <x:c r="K27" s="14" t="str">
        <x:v>Original URL only; not re-verified in this expansion pass</x:v>
      </x:c>
      <x:c r="L27" s="14" t="str">
        <x:v>previous old papers(3).xlsx</x:v>
      </x:c>
      <x:c r="M27" s="14" t="n">
        <x:v>7</x:v>
      </x:c>
      <x:c r="N27" s="14" t="n">
        <x:v>2</x:v>
      </x:c>
      <x:c r="O27" s="14" t="str">
        <x:v>Daja K. LOW-CODE PLATFORMS VS. TRADITIONAL CODING: A COMPARATIVE STUDY (Doctoral dissertation).</x:v>
      </x:c>
      <x:c r="P27" s="14" t="str"/>
      <x:c r="Q27" s="14" t="n">
        <x:v>40</x:v>
      </x:c>
      <x:c r="R27" s="14" t="str">
        <x:v>Low-code, traditional coding, development platforms, business systems, 
cost-effectiveness </x:v>
      </x:c>
      <x:c r="S27" s="14" t="str">
        <x:v>During this digital era, the demand for management systems, websites and application has been increasing more and more because they serve as a technology 
solution for businesses. In order to be able to develop these kind of tools come in help development teams or third party-vendors. Nowadays, the low code and no
development platforms are introduced as one of the latest approach for development. This thesis analyzes the benefits and downfalls of LC/NC platforms compared to most commonly known traditional coding such as HTML, CSS, JavaScript etc. The study shows that these recent platforms are pursued quickly and require no more than basic programming skills, leading to a being better solution for businesses. On the other hand, LC/NC platforms limitations are covered and how they affect businesses and the overall functionality of the application. By examining the impact of LC/NC platforms 
on businesses, users and developers in contrast to more conventional programming, this master thesis provides an overview of two different coding approaches ensuring 
that the reader makes a better decision on which approach to use to meet the project goal and requirements.</x:v>
      </x:c>
    </x:row>
    <x:row r="28" ht="64" customHeight="1">
      <x:c r="A28" s="14" t="n">
        <x:v>27</x:v>
      </x:c>
      <x:c r="B28" s="14" t="str">
        <x:v>Original supplied record</x:v>
      </x:c>
      <x:c r="C28" s="14" t="str">
        <x:v>Screened out after title/abstract/quality screen</x:v>
      </x:c>
      <x:c r="D28" s="14" t="n">
        <x:v>2022</x:v>
      </x:c>
      <x:c r="E28" s="14" t="str">
        <x:v>Low-code development and model-driven engineering: Two sides of the same coin?</x:v>
      </x:c>
      <x:c r="F28" s="14" t="str">
        <x:v>Davide Di Ruscio1 · Dimitris Kolovos 2 · Juan de Lara 3 · Alfonso Pierantonio 1 · Massimo Tisi4 · Manuel Wimmer 5</x:v>
      </x:c>
      <x:c r="G28" s="14" t="str">
        <x:v>Software and Systems Modeling (2022) 21:437–446
https://doi.org/10.1007/s10270-021-00970-2</x:v>
      </x:c>
      <x:c r="H28" s="14" t="str">
        <x:v>General LCNC</x:v>
      </x:c>
      <x:c r="I28" s="14" t="str">
        <x:v>https://link.springer.com/article/10.1007/s10270-021-00970-2</x:v>
      </x:c>
      <x:c r="J28" s="14" t="str"/>
      <x:c r="K28" s="14" t="str">
        <x:v>Original URL only; not re-verified in this expansion pass</x:v>
      </x:c>
      <x:c r="L28" s="14" t="str">
        <x:v>previous old papers(3).xlsx</x:v>
      </x:c>
      <x:c r="M28" s="14" t="n">
        <x:v>8</x:v>
      </x:c>
      <x:c r="N28" s="14" t="n">
        <x:v>3</x:v>
      </x:c>
      <x:c r="O28" s="14" t="str">
        <x:v>Di Ruscio D, Kolovos D, de Lara J, Pierantonio A, Tisi M, Wimmer M. Low-code development and model-driven engineering: Two sides of the same coin?. Software and Systems Modeling. 2022 Apr;21(2):437-46.</x:v>
      </x:c>
      <x:c r="P28" s="14" t="str"/>
      <x:c r="Q28" s="14" t="n">
        <x:v>40</x:v>
      </x:c>
      <x:c r="R28" s="14" t="str">
        <x:v> Low-code development · No-code development · Model-driven engineerin</x:v>
      </x:c>
      <x:c r="S28" s="14" t="str">
        <x:v>The last few years have witnessed a significant growth of so-called low-code development platforms (LCDPs) both in gaining traction on the market and attracting interest from academia. LCDPs are advertised as visual development platforms, typically running on the cloud, reducing the need for manual coding and also targeting non-professional programmers. Since LCDPs share many of the goals and features of model-driven engineering approaches, it is a common point of debate whether low-code is just a new buzzword for model-driven technologies, or whether the two terms refer to genuinely distinct approaches. To contribute to this discussion, in this expert-voice paper, we compare and contrast low-code and model-driven approaches, identifying their differences and commonalities, analysing their strong and weak points, and proposing directions for cross-pollination.</x:v>
      </x:c>
    </x:row>
    <x:row r="29" ht="64" customHeight="1">
      <x:c r="A29" s="14" t="n">
        <x:v>28</x:v>
      </x:c>
      <x:c r="B29" s="14" t="str">
        <x:v>Original supplied record</x:v>
      </x:c>
      <x:c r="C29" s="14" t="str">
        <x:v>Final Top 50</x:v>
      </x:c>
      <x:c r="D29" s="14" t="n">
        <x:v>2024</x:v>
      </x:c>
      <x:c r="E29" s="14" t="str">
        <x:v>Low-code vs. the developer: An empirical study on the developer experience and efficiency of a no-code platform</x:v>
      </x:c>
      <x:c r="F29" s="14" t="str">
        <x:v> Davide DiRuscio1
 · Dimitris Kolovos2 · Juan de Lara3 ·Alfonso Pierantonio1 · Massimo Tisi4 · Manuel Wimmer5</x:v>
      </x:c>
      <x:c r="G29" s="14" t="str">
        <x:v>Software and Systems Modeling (2022) 21:437–446
https://doi.org/10.1007/s10270-021-00970-2</x:v>
      </x:c>
      <x:c r="H29" s="14" t="str">
        <x:v>Developer experience</x:v>
      </x:c>
      <x:c r="I29" s="14" t="str">
        <x:v>https://dl.acm.org/doi/10.1145/3652620.3688332</x:v>
      </x:c>
      <x:c r="J29" s="14" t="str">
        <x:v>https://www.uni-kassel.de/eecs/index.php?eID=dumpFile&amp;f=40025&amp;t=f&amp;token=b1a175d421589348da54f15ffb99610ac0d45cd4</x:v>
      </x:c>
      <x:c r="K29" s="14" t="str">
        <x:v>Institutional PDF</x:v>
      </x:c>
      <x:c r="L29" s="14" t="str">
        <x:v>previous old papers(3).xlsx</x:v>
      </x:c>
      <x:c r="M29" s="14" t="n">
        <x:v>9</x:v>
      </x:c>
      <x:c r="N29" s="14" t="n">
        <x:v>4</x:v>
      </x:c>
      <x:c r="O29" s="14" t="str">
        <x:v>Guthardt T, Kosiol J, Hohlfeld O. Low-code vs. the developer: An empirical study on the developer experience and efficiency of a no-code platform. InProceedings of the ACM/IEEE 27th International Conference on Model Driven Engineering Languages and Systems 2024 Sep 22 (pp. 856-865).</x:v>
      </x:c>
      <x:c r="P29" s="14" t="str">
        <x:v>Empirical developer-experience/efficiency evidence for no-code/low-code platforms.</x:v>
      </x:c>
      <x:c r="Q29" s="14" t="n">
        <x:v>77</x:v>
      </x:c>
      <x:c r="R29" s="14" t="str">
        <x:v>Low-code development platform, citizen development, developer efficiency</x:v>
      </x:c>
      <x:c r="S29" s="14" t="str">
        <x:v>The shortage of competent software developers has led to increased interest in Low-Code Development Platforms (LCDPs), which enable application development with no or minimal coding by leveraging pre-built components. This study explores whether LCDPs can fulfill their promise of empowering “citizen developers” (CDs) without extensive programming experience. Our paper involves a two-part empirical study. First, we conducted semi-structured interviews with small and medium-sized enterprises (SMEs) to understand their acceptance of LCDPs and identify potential barriers, such as the need for extensive training. Second, we performed a quantitative experiment to compare the performance of programmers and CDs using a prototype no-code builder. The results reveal no significant difference in task correctness or processing time between the two groups, suggesting that the training concerns for CDs may be overstated. These findings indicate that LCDPs couldindeed democratize software development, allowing SMEs to de-velop necessary applications cost-effectively with minimal trainingrequirements</x:v>
      </x:c>
    </x:row>
    <x:row r="30" ht="64" customHeight="1">
      <x:c r="A30" s="14" t="n">
        <x:v>29</x:v>
      </x:c>
      <x:c r="B30" s="14" t="str">
        <x:v>Original supplied record</x:v>
      </x:c>
      <x:c r="C30" s="14" t="str">
        <x:v>Screened out after title/abstract/quality screen</x:v>
      </x:c>
      <x:c r="D30" s="14" t="n">
        <x:v>2021</x:v>
      </x:c>
      <x:c r="E30" s="14" t="str">
        <x:v>Low-Code Platform</x:v>
      </x:c>
      <x:c r="F30" s="14" t="str">
        <x:v> Alexander C. Bock • Ulrich Frank</x:v>
      </x:c>
      <x:c r="G30" s="14" t="str">
        <x:v>Bus Inf Syst Eng 63(6):733–740 (2021)</x:v>
      </x:c>
      <x:c r="H30" s="14" t="str">
        <x:v>Review / SLR / mapping</x:v>
      </x:c>
      <x:c r="I30" s="14" t="str">
        <x:v>https://link.springer.com/article/10.1007/s12599-021-00726-8</x:v>
      </x:c>
      <x:c r="J30" s="14" t="str"/>
      <x:c r="K30" s="14" t="str">
        <x:v>Original URL only; not re-verified in this expansion pass</x:v>
      </x:c>
      <x:c r="L30" s="14" t="str">
        <x:v>previous old papers(3).xlsx</x:v>
      </x:c>
      <x:c r="M30" s="14" t="n">
        <x:v>10</x:v>
      </x:c>
      <x:c r="N30" s="14" t="n">
        <x:v>5</x:v>
      </x:c>
      <x:c r="O30" s="14" t="str">
        <x:v>Bock AC, Frank U. Low-code platform. Business &amp; Information Systems Engineering. 2021 Dec;63:733-40.</x:v>
      </x:c>
      <x:c r="P30" s="14" t="str"/>
      <x:c r="Q30" s="14" t="n">
        <x:v>40</x:v>
      </x:c>
      <x:c r="R30" s="14" t="str">
        <x:v> Low-code  ,Software development
environment , Citizen developer  ,Organizational agility,
Conceptual modeling  ,Software development productivity</x:v>
      </x:c>
      <x:c r="S30" s="14" t="str">
        <x:v>Low-code platforms (LCPs), also referred to as low-code application platforms (LCAPs) or low-code development platforms (LCDPs), have emerged as a trend promising increased software development productivity and better alignment with business IT needs. These platforms are designed to simplify the development process through declarative, high-level programming abstractions like model-driven and metadata-based languages, enabling faster application development and deployment.
Major software vendors like IBM, Microsoft, and Oracle have integrated LCPs into their portfolios, and research firms predict substantial market growth. However, while LCPs attract attention for their potential to reduce development costs and empower users, the distinction between LCPs and existing tools like integrated development environments (IDEs) remains unclear.
This paper aims to clarify the characteristics of low-code platforms, compare them with existing research on software development, and explore technological innovations in the field. It identifies future research opportunities in business information systems related to low-code development. The paper begins with a review of how low-code platforms are received in both industry and academia, followed by a detailed study of current market offerings. It then contrasts the findings with existing software development research and concludes by suggesting future research directions.</x:v>
      </x:c>
    </x:row>
    <x:row r="31" ht="64" customHeight="1">
      <x:c r="A31" s="14" t="n">
        <x:v>30</x:v>
      </x:c>
      <x:c r="B31" s="14" t="str">
        <x:v>Original supplied record</x:v>
      </x:c>
      <x:c r="C31" s="14" t="str">
        <x:v>Screened out after title/abstract/quality screen</x:v>
      </x:c>
      <x:c r="D31" s="14" t="n">
        <x:v>2021</x:v>
      </x:c>
      <x:c r="E31" s="14" t="str">
        <x:v>Characteristics and Challenges of Low-Code Development: The Practitioners' Perspective</x:v>
      </x:c>
      <x:c r="F31" s="14" t="str">
        <x:v>Yajing Luo1, Peng Liang1?, Chong Wang1, Mojtaba Shahin2, Jing Zhan3</x:v>
      </x:c>
      <x:c r="G31" s="14" t="str">
        <x:v>ESEM ’21, October 11–15, 2021, Bari, Italy</x:v>
      </x:c>
      <x:c r="H31" s="14" t="str">
        <x:v>General LCNC</x:v>
      </x:c>
      <x:c r="I31" s="14" t="str">
        <x:v>https://dl.acm.org/doi/abs/10.1145/3475716.3475782</x:v>
      </x:c>
      <x:c r="J31" s="14" t="str"/>
      <x:c r="K31" s="14" t="str">
        <x:v>Original URL only; not re-verified in this expansion pass</x:v>
      </x:c>
      <x:c r="L31" s="14" t="str">
        <x:v>previous old papers(3).xlsx</x:v>
      </x:c>
      <x:c r="M31" s="14" t="n">
        <x:v>11</x:v>
      </x:c>
      <x:c r="N31" s="14" t="n">
        <x:v>6</x:v>
      </x:c>
      <x:c r="O31" s="14" t="str">
        <x:v>Luo Y, Liang P, Wang C, Shahin M, Zhan J. Characteristics and challenges of low-code development: the practitioners' perspective. InProceedings of the 15th ACM/IEEE international symposium on empirical software engineering and measurement (ESEM) 2021 Oct 11 (pp. 1-11).</x:v>
      </x:c>
      <x:c r="P31" s="14" t="str"/>
      <x:c r="Q31" s="14" t="n">
        <x:v>40</x:v>
      </x:c>
      <x:c r="R31" s="14" t="str">
        <x:v> Low-Code Development, Stack Overflow, Reddit, Empirical Study</x:v>
      </x:c>
      <x:c r="S31" s="14" t="str">
        <x:v>Background: In recent years, Low-code development (LCD) is growing rapidly, and Gartner and Forrester have predicted that the use of LCD is very promising. Giant companies, such as Microsoft, Mendix, and Outsystems have also launched their LCD platforms. Aim: In this work, we explored two popular online developer communities, Stack Overflow (SO) and Reddit, to provide insights on the characteristics and challenges of LCD from a practitioners' perspective. Method: We used two LCD related terms to search the relevant posts in SO and extracted 73 posts. Meanwhile, we explored three LCD related subreddits from Reddit and collected 228 posts. We extracted data from these posts and applied the Constant Comparison method to analyze the descriptions, benefits, and limitations and challenges of LCD. For platforms and programming languages used in LCD, implementation units in LCD, supporting technologies of LCD, types of applications developed by LCD, and domains that use LCD, we used descriptive statistics to analyze and present the results. Results: Our findings show that: (1) LCD may provide a graphical user interface for users to drag and drop with little or even no code; (2) the equipment of out-of-the-box units (e.g., APIs and components) in LCD platforms makes them easy to learn and use as well as speeds up the development; (3) LCD is particularly favored in the domains that have the need for automated processes and workflows; and (4) practitioners have conflicting views on the advantages and disadvantages of LCD. Conclusions: Our findings suggest that researchers should clearly define the terms when they refer to LCD, and developers should consider whether the characteristics of LCD are appropriate for their projects.</x:v>
      </x:c>
    </x:row>
    <x:row r="32" ht="64" customHeight="1">
      <x:c r="A32" s="14" t="n">
        <x:v>31</x:v>
      </x:c>
      <x:c r="B32" s="14" t="str">
        <x:v>Original supplied record</x:v>
      </x:c>
      <x:c r="C32" s="14" t="str">
        <x:v>Screened out after title/abstract/quality screen</x:v>
      </x:c>
      <x:c r="D32" s="14" t="n">
        <x:v>2020</x:v>
      </x:c>
      <x:c r="E32" s="14" t="str">
        <x:v>Closing the gap between designers and developers in a low code ecosystem</x:v>
      </x:c>
      <x:c r="F32" s="14" t="str">
        <x:v> Mariana Bexiga,  Stoyan Garbatov,  João Costa Seco</x:v>
      </x:c>
      <x:c r="G32" s="14" t="str">
        <x:v> MODELS ’20 Companion, October 18–23, 2020, Virtual Event, Canada</x:v>
      </x:c>
      <x:c r="H32" s="14" t="str">
        <x:v>Adoption / citizen development</x:v>
      </x:c>
      <x:c r="I32" s="14" t="str">
        <x:v>https://dl.acm.org/doi/abs/10.1145/3417990.3420195</x:v>
      </x:c>
      <x:c r="J32" s="14" t="str"/>
      <x:c r="K32" s="14" t="str">
        <x:v>Original URL only; not re-verified in this expansion pass</x:v>
      </x:c>
      <x:c r="L32" s="14" t="str">
        <x:v>previous old papers(3).xlsx</x:v>
      </x:c>
      <x:c r="M32" s="14" t="n">
        <x:v>12</x:v>
      </x:c>
      <x:c r="N32" s="14" t="n">
        <x:v>7</x:v>
      </x:c>
      <x:c r="O32" s="14" t="str">
        <x:v>Bexiga M, Garbatov S, Seco JC. Closing the gap between designers and developers in a low code ecosystem. InProceedings of the 23rd ACM/IEEE International Conference on Model Driven Engineering Languages and Systems: Companion Proceedings 2020 Oct 16 (pp. 1-10).</x:v>
      </x:c>
      <x:c r="P32" s="14" t="str"/>
      <x:c r="Q32" s="14" t="n">
        <x:v>40</x:v>
      </x:c>
      <x:c r="R32" s="14" t="str">
        <x:v> Low-Code Platform, Design To Code, OutSystems, Front-end De
velopment</x:v>
      </x:c>
      <x:c r="S32" s="14" t="str">
        <x:v>Nowadays, going digital is a must for a company to thrive and remain competitive. The digital transformation allows companies to react timely and adequately to the constantly evolving markets. This transformation is not without challenges. Among these is the growing demand for skilled software developers. Low-code platforms have risen to mitigate this pressure point by allowing people with non-programming backgrounds to craft digital systems capable of solving business relevant problems.
 Professional development teams are composed of many different profiles- product owners, analysts, UX and UI designers, front-end and back-end developers, among others. Market competition puts unprecedented demands on the collaboration of these professionals.
 Current methodologies provide tools and approaches for many of these types of collaboration. However, the reality of established industry practices for UX and UI designers collaborating with front end developers, still leaves a lot to improve in terms of effectiveness and efficiency.
 This work developed an innovative approach using model transformation and meta-modelling techniques that drastically improves the efficiency of transforming UX/UI design artefacts into low-code web-technology. The approach has been applied to a recognized and established enterprise-grade low-code platform and evaluated in practice by a team of professional designers and front-end developers. Preliminary practical results show savings between 20 and 75% according to the project complexity in the effort invested by
 development teams in the above mentioned process.</x:v>
      </x:c>
    </x:row>
    <x:row r="33" ht="64" customHeight="1">
      <x:c r="A33" s="14" t="n">
        <x:v>32</x:v>
      </x:c>
      <x:c r="B33" s="14" t="str">
        <x:v>Original supplied record</x:v>
      </x:c>
      <x:c r="C33" s="14" t="str">
        <x:v>Screened out after title/abstract/quality screen</x:v>
      </x:c>
      <x:c r="D33" s="14" t="str">
        <x:v>21.11.2022</x:v>
      </x:c>
      <x:c r="E33" s="14" t="str">
        <x:v>Developer Experience in Low-Code Versus Traditional Development Platforms
A Comparative Experiment</x:v>
      </x:c>
      <x:c r="F33" s="14" t="str">
        <x:v>Arian Kermanchi</x:v>
      </x:c>
      <x:c r="G33" s="14" t="str">
        <x:v>Aalto University, P.O. BOX 11000, 00076 AALTO</x:v>
      </x:c>
      <x:c r="H33" s="14" t="str">
        <x:v>General LCNC</x:v>
      </x:c>
      <x:c r="I33" s="14" t="str">
        <x:v>https://aaltodoc.aalto.fi/server/api/core/bitstreams/18f9453c-5930-4a94-a545-4f9dc51be7aa/content</x:v>
      </x:c>
      <x:c r="J33" s="14" t="str"/>
      <x:c r="K33" s="14" t="str">
        <x:v>Original URL only; not re-verified in this expansion pass</x:v>
      </x:c>
      <x:c r="L33" s="14" t="str">
        <x:v>previous old papers(3).xlsx</x:v>
      </x:c>
      <x:c r="M33" s="14" t="n">
        <x:v>13</x:v>
      </x:c>
      <x:c r="N33" s="14" t="n">
        <x:v>8</x:v>
      </x:c>
      <x:c r="O33" s="14" t="str">
        <x:v>Kermanchi A. Developer Experience in Low-Code Versus Traditional Development Platforms-A Comparative Experiment.</x:v>
      </x:c>
      <x:c r="P33" s="14" t="str"/>
      <x:c r="Q33" s="14" t="n">
        <x:v>40</x:v>
      </x:c>
      <x:c r="R33" s="14" t="str">
        <x:v> developer experience , low-code development platform , software
 development , enterprise applications , Salesforce , declarative
 development , programmatic development
</x:v>
      </x:c>
      <x:c r="S33" s="14" t="str">
        <x:v> Developer Experience stems from the concept of User Experience but focuses on
 software developers and their experience when using development platforms and tools
 to produce software. In recent years, as industries need more software developers
 with higher productivity to produce increasingly domain-specific and complex digital
 solutions, the concept of low-code software development has gained popularity.
 Low-Code Development Platforms (LCDPs) enable users with or without prior
 programming experience to create applications using model-driven or graphical user
 interfaces instead of writing textual code. Currently, there is limited research on the
 di erences in developer experience between traditional and low-code development
 tools. This thesis explores the di erences between developers’ episodic experience
 when using traditional development platforms versus low-code development platforms
 by conducting a comparative experiment using Salesforce Flow Builder (a LCDP)
 and APEX programming language. Participants with varying levels of programming
 experience but no Salesforce experience were taught the basics of Salesforce Flow
 Builder and then tasked to accomplish a number of tasks using the tool. Then
 they were taught the basics of APEX language and tasked to accomplish the same
 set of tasks using the language. Their experiences and thoughts were captured
 using questionnaires and interviews and their performance was graded by running
 test cases on their delivered solutions. The results indicate that past programming
 experience appears to strongly influence the developers’ performance, experiences,
 and tool preferences, while most developers remain skeptical of the scalability and
 maintainability of applications developed using LCDPs. There are also polarized
 opinions on the e ciency of the tools. In addition to discussing the experiment
 results and findings, this thesis also provides insights for future research in this area.</x:v>
      </x:c>
    </x:row>
    <x:row r="34" ht="64" customHeight="1">
      <x:c r="A34" s="14" t="n">
        <x:v>33</x:v>
      </x:c>
      <x:c r="B34" s="14" t="str">
        <x:v>Original supplied record</x:v>
      </x:c>
      <x:c r="C34" s="14" t="str">
        <x:v>Screened out after title/abstract/quality screen</x:v>
      </x:c>
      <x:c r="D34" s="14" t="n">
        <x:v>2021</x:v>
      </x:c>
      <x:c r="E34" s="14" t="str">
        <x:v>An Empirical Study of Developer Discussions on Low-Code Software Development Challenges</x:v>
      </x:c>
      <x:c r="F34" s="14" t="str">
        <x:v>Md Abdullah Al Alamin , Sanjay Malakar , Gias Uddin , Sadia Afroz , Tameem Bin Haider , Anindya Iqbal</x:v>
      </x:c>
      <x:c r="G34" s="14" t="str">
        <x:v>arXiv:2103.11429v1  [cs.SE]  21 Mar 2021</x:v>
      </x:c>
      <x:c r="H34" s="14" t="str">
        <x:v>Adoption / citizen development</x:v>
      </x:c>
      <x:c r="I34" s="14" t="str">
        <x:v>https://ieeexplore.ieee.org/abstract/document/9463132</x:v>
      </x:c>
      <x:c r="J34" s="14" t="str"/>
      <x:c r="K34" s="14" t="str">
        <x:v>Original URL only; not re-verified in this expansion pass</x:v>
      </x:c>
      <x:c r="L34" s="14" t="str">
        <x:v>previous old papers(3).xlsx</x:v>
      </x:c>
      <x:c r="M34" s="14" t="n">
        <x:v>14</x:v>
      </x:c>
      <x:c r="N34" s="14" t="n">
        <x:v>9</x:v>
      </x:c>
      <x:c r="O34" s="14" t="str">
        <x:v>Al Alamin MA, Malakar S, Uddin G, Afroz S, Haider TB, Iqbal A. An empirical study of developer discussions on low-code software development challenges. In2021 IEEE/ACM 18th International Conference on Mining Software Repositories (MSR) 2021 May 17 (pp. 46-57). IEEE.</x:v>
      </x:c>
      <x:c r="P34" s="14" t="str"/>
      <x:c r="Q34" s="14" t="n">
        <x:v>40</x:v>
      </x:c>
      <x:c r="R34" s="14" t="str">
        <x:v>Low-Code, Issue, Challenge, Empirical Study.</x:v>
      </x:c>
      <x:c r="S34" s="14" t="str">
        <x:v>Low-code software development (LCSD) is an
 emerging paradigm that combines minimal source code with interactive graphical interfaces to promote rapid application development. LCSD aims to democratize application development to software practitioners with diverse backgrounds. Given that LCSD is relatively a new paradigm, it is vital to learn about the challenges developers face during their adoption of LCSD platforms. The online developer forum, Stack Overflow (SO), is popular among software developers to ask for solutions to their technical problems. We observe a growing body of posts in SO with discussions of LCSD platforms. In this paper, we present an empirical study of around 5K SO posts (questions + accepted answers) that contain discussions of nine popular LCSD platforms. We apply topic modeling on the posts to determine the types of topics discussed. We find 13 topics related to LCSD in SO. The 13 topics are grouped into four categories: Customization, Platform Adoption, Database Management, and Third-Party Integration. More than 40% of the questions are about customization, i.e., developers frequently face challenges with customizing user interfaces or services offered by LCSD
 platforms. The topic “Dynamic Event Handling” under the
 “Customization” category is the most popular (in terms of
 average view counts per question of the topic) as well as the most difficult. It means that developers frequently search for customization solutions such as how to attach dynamic events to a form in low-code UI, yet most (75.9%) of their questions remain without an accepted answer. We manually label 900 questions from the posts to determine the prevalence of the topics’ challenges across LCSD phases. We find that most of the questions are related to the development phase, and low-code
 developers also face challenges with automated testing. Our study findings offer implications for low-code practitioners, platform providers, educators, and researchers.</x:v>
      </x:c>
    </x:row>
    <x:row r="35" ht="64" customHeight="1">
      <x:c r="A35" s="14" t="n">
        <x:v>34</x:v>
      </x:c>
      <x:c r="B35" s="14" t="str">
        <x:v>Original supplied record</x:v>
      </x:c>
      <x:c r="C35" s="14" t="str">
        <x:v>Final Top 50</x:v>
      </x:c>
      <x:c r="D35" s="14" t="n">
        <x:v>2022</x:v>
      </x:c>
      <x:c r="E35" s="14" t="str">
        <x:v>Developer discussion topics on the adoption and barriers of low code software development platforms</x:v>
      </x:c>
      <x:c r="F35" s="14" t="str">
        <x:v>MdAbdullahAlAlamin 1 , GiasUddin 1 , SanjayMalakar 2, SadiaAfroz 2 ,
 TameemHaider 2, AnindyaIqbal2</x:v>
      </x:c>
      <x:c r="G35" s="14" t="str">
        <x:v>Empirical Software Engineering (2023) 28:4</x:v>
      </x:c>
      <x:c r="H35" s="14" t="str">
        <x:v>Adoption barriers / empirical</x:v>
      </x:c>
      <x:c r="I35" s="14" t="str">
        <x:v>https://link.springer.com/article/10.1007/s10664-022-10244-0</x:v>
      </x:c>
      <x:c r="J35" s="14" t="str">
        <x:v>https://arxiv.org/pdf/2209.00844</x:v>
      </x:c>
      <x:c r="K35" s="14" t="str">
        <x:v>Author PDF via arXiv</x:v>
      </x:c>
      <x:c r="L35" s="14" t="str">
        <x:v>previous old papers(3).xlsx</x:v>
      </x:c>
      <x:c r="M35" s="14" t="n">
        <x:v>15</x:v>
      </x:c>
      <x:c r="N35" s="14" t="n">
        <x:v>10</x:v>
      </x:c>
      <x:c r="O35" s="14" t="str">
        <x:v>Alamin MA, Uddin G, Malakar S, Afroz S, Haider T, Iqbal A. Developer discussion topics on the adoption and barriers of low code software development platforms. Empirical software engineering. 2023 Jan;28(1):4.</x:v>
      </x:c>
      <x:c r="P35" s="14" t="str">
        <x:v>Strong empirical study on adoption barriers and discussion themes; complements governance/adoption papers.</x:v>
      </x:c>
      <x:c r="Q35" s="14" t="n">
        <x:v>70</x:v>
      </x:c>
      <x:c r="R35" s="14" t="str">
        <x:v>Low-code software development · Empirical study · Stack overflow</x:v>
      </x:c>
      <x:c r="S35" s="14" t="str">
        <x:v> Low-code software development (LCSD) is an emerging approach to democratize appli
cation development for software practitioners from diverse backgrounds. LCSD platforms
 promote rapid application development with a drag-and-drop interface and minimal pro
gramming by hand. As it is a relatively new paradigm, it is vital to study developers’
 difficulties when adopting LCSD platforms. Software engineers frequently use the online
 developer forum Stack Overflow (SO) to seek assistance with technical issues. We observe
 a growing body of LCSD-related posts in SO. This paper presents an empirical study of
 around 33K SO posts (questions + accepted answers) containing discussions of 38 popular
 LCSD platforms. We use Topic Modeling to determine the topics discussed in those posts.
 Additionally, we examine how these topics are spread across the various phases of the agile
 software development life cycle (SDLC) and which part of LCSD is the most popular and
 challenging. Our study offers several interesting findings. First, we find 40 LCSD topics
 that we group into five categories: Application Customization, Database and File Manage
ment, Platform Adoption, Platform Maintenance, and Third-party API Integration. Second,
 while the Application Customization (30%) and Data Storage (25%) topic categories are
 the most common, inquiries relating to several other categories (e.g., the Platform Adoption
 topic category) have gained considerable attention in recent years. Third, all topic categories
 are evolving rapidly, especially during the Covid-19 pandemic. Fourth, the How-type ques
tions are prevalent in all topics, but the What-type and Why-type (i.e., detail information</x:v>
      </x:c>
    </x:row>
    <x:row r="36" ht="64" customHeight="1">
      <x:c r="A36" s="14" t="n">
        <x:v>35</x:v>
      </x:c>
      <x:c r="B36" s="14" t="str">
        <x:v>Original supplied record</x:v>
      </x:c>
      <x:c r="C36" s="14" t="str">
        <x:v>Screened out after title/abstract/quality screen</x:v>
      </x:c>
      <x:c r="D36" s="14" t="n">
        <x:v>2021</x:v>
      </x:c>
      <x:c r="E36" s="14" t="str">
        <x:v>Improving Collaboration Efficiency Between UX/UI Designers and Developers in a Low-Code Platform</x:v>
      </x:c>
      <x:c r="F36" s="14" t="str">
        <x:v> Jo˜ ao Pacheco,
 Stoyan Garbatov,  Miguel Goul˜ ao</x:v>
      </x:c>
      <x:c r="G36" s="14" t="str">
        <x:v>2021 ACM/IEEE International Conference on Model Driven Engineering Languages and Systems Companion (MODELS-C)</x:v>
      </x:c>
      <x:c r="H36" s="14" t="str">
        <x:v>General LCNC</x:v>
      </x:c>
      <x:c r="I36" s="14" t="str">
        <x:v>https://ieeexplore.ieee.org/abstract/document/9643662</x:v>
      </x:c>
      <x:c r="J36" s="14" t="str"/>
      <x:c r="K36" s="14" t="str">
        <x:v>Original URL only; not re-verified in this expansion pass</x:v>
      </x:c>
      <x:c r="L36" s="14" t="str">
        <x:v>previous old papers(3).xlsx</x:v>
      </x:c>
      <x:c r="M36" s="14" t="n">
        <x:v>16</x:v>
      </x:c>
      <x:c r="N36" s="14" t="n">
        <x:v>11</x:v>
      </x:c>
      <x:c r="O36" s="14" t="str">
        <x:v>Pacheco J, Garbatov S, Goulão M. Improving collaboration efficiency between UX/UI designers and developers in a low-code platform. In2021 ACM/IEEE International Conference on Model Driven Engineering Languages and Systems Companion (MODELS-C) 2021 Oct 10 (pp. 138-147). IEEE.</x:v>
      </x:c>
      <x:c r="P36" s="14" t="str"/>
      <x:c r="Q36" s="14" t="n">
        <x:v>40</x:v>
      </x:c>
      <x:c r="R36" s="14" t="str">
        <x:v>Design To Code, OutSystems, Low-Code Plat
forms, Front-end Development, Automation, Generation</x:v>
      </x:c>
      <x:c r="S36" s="14" t="str">
        <x:v>Customer-facing applications are essential for busi
nesses. Therefore, a good user experience is fundamental for
 their success in the market. Companies employ highly specialized
 people in front-end development and User Experience (UX) &amp;
 User Interface (UI) design to achieve this goal. Their collabora
tion is critical and raises some efficiency challenges, particularly
 in Low-Code platforms, such as OutSystems. UX/UI designers
 typically use specialized tools with their underlying metamodels.
 OutSystems developers use an integrated development environ
ment with the underlying OutSystems metamodel. While there
 are some code-generation plugins for popular design tools, these
 do not generate code for Low-Code platforms.
 Miguel Goul˜ ao
 NOVA School of Science and Technology,
 NOVA LINCS
 Portugal
 mgoul@fct.unl.pt
 of them being Design. Gartner has reported that more than
 two-thirds of companies now “compete primarily on the basis
 of customer experience” [8].
 The current transformation process from design to develop
ment is done 100% manually, resulting in a loss of efficiency. Our
 goal is to accelerate this transformation process from a design
 model to a development model to mitigate this inefficiency.
 To do so, we developed an approach using model transforma
tions to automate part of the process. Namely, it automates the
 generation of application pages/screens by composing the screen
 mockups in a design technology (such as Figma or Sketch) with
 a library of reusable UI components to instantiate the design in
 a front-end technology (such as OutSystems).
 Our approach was validated by a professional team of front
end developers from an established enterprise-grade Low-Code
 platform who applied and evaluated this work on some of their
 past real projects. Preliminary results show an overall acceptance
 of the developed tool with a possible increase of 150% to 400%
 in the number of pages/screens that they can deliver with the
 same effort.
 This approach allows mitigating a bottleneck faced by the
 development team. To increase the value they could offer to
 customers (e.g., by producing more application screens in the
 same time frame), they would need to recruit new collaborators
 whose skill set is high on demand. Our work offers a more
 economical alternative to increase their productivity.</x:v>
      </x:c>
    </x:row>
    <x:row r="37" ht="64" customHeight="1">
      <x:c r="A37" s="14" t="n">
        <x:v>36</x:v>
      </x:c>
      <x:c r="B37" s="14" t="str">
        <x:v>Original supplied record</x:v>
      </x:c>
      <x:c r="C37" s="14" t="str">
        <x:v>Screened out after title/abstract/quality screen</x:v>
      </x:c>
      <x:c r="D37" s="14" t="n">
        <x:v>2020</x:v>
      </x:c>
      <x:c r="E37" s="14" t="str">
        <x:v>Developer Experience of a Low-Code Platform: An exploratory study</x:v>
      </x:c>
      <x:c r="F37" s="14" t="str">
        <x:v>Daniel Dahlberg </x:v>
      </x:c>
      <x:c r="G37" s="14" t="str">
        <x:v>Master thesis, 30 hp 
Master's Programme in Human-Computer Interaction and Social Media 
SPM 2020.18 </x:v>
      </x:c>
      <x:c r="H37" s="14" t="str">
        <x:v>Adoption / citizen development</x:v>
      </x:c>
      <x:c r="I37" s="14" t="str">
        <x:v>https://www.diva-portal.org/smash/record.jsf?pid=diva2%3A1485348&amp;dswid=9964</x:v>
      </x:c>
      <x:c r="J37" s="14" t="str"/>
      <x:c r="K37" s="14" t="str">
        <x:v>Original URL only; not re-verified in this expansion pass</x:v>
      </x:c>
      <x:c r="L37" s="14" t="str">
        <x:v>previous old papers(3).xlsx</x:v>
      </x:c>
      <x:c r="M37" s="14" t="n">
        <x:v>17</x:v>
      </x:c>
      <x:c r="N37" s="14" t="n">
        <x:v>12</x:v>
      </x:c>
      <x:c r="O37" s="14" t="str">
        <x:v>Dahlberg D. Developer experience of a low-code platform: An exploratory study.</x:v>
      </x:c>
      <x:c r="P37" s="14" t="str"/>
      <x:c r="Q37" s="14" t="n">
        <x:v>40</x:v>
      </x:c>
      <x:c r="R37" s="14" t="str">
        <x:v>Business Automation, Developer Experience, Evaluation, HCI, Low-code 
Platform, System Development, User Experience </x:v>
      </x:c>
      <x:c r="S37" s="14" t="str">
        <x:v>In recent years, low-code development has become increasingly popular, enabling 
developers to write less code and focus on the objective. However, while proven efficient, little 
attention has been given to how developers experience working in these development 
environments. This is significant as providing unpleasant experiences could reduce the 
benefits of low-code platforms by leaving the developers unhappy. As such, this study aims 
to gain an understanding of developer experience in low-code environments. The study was 
conducted with an IT-company recently specialized in low-code solutions, where participants 
were chosen based on having prior experience with low-code development. This ensued in 
interviews with six low-code developers as well as a project leader. Main positive experiences 
found were, feeling more productive, improved customer relations, focus on the objective, 
shared developer understanding, and quick learnability. Key negative experiences found 
were, having work constrained, limited freedom and creativity, inadequate documentation, 
and overview, and having poor and unsafe teamwork capabilities. To the best of my 
knowledge this is the first study to explore developer experience in low-code development 
environments and stands as groundwork for future studies in low-code developer experience.</x:v>
      </x:c>
    </x:row>
    <x:row r="38" ht="64" customHeight="1">
      <x:c r="A38" s="14" t="n">
        <x:v>37</x:v>
      </x:c>
      <x:c r="B38" s="14" t="str">
        <x:v>Original supplied record</x:v>
      </x:c>
      <x:c r="C38" s="14" t="str">
        <x:v>Screened out after title/abstract/quality screen</x:v>
      </x:c>
      <x:c r="D38" s="14" t="n">
        <x:v>2020</x:v>
      </x:c>
      <x:c r="E38" s="14" t="str">
        <x:v>Supporting the understanding and comparison of low-code development platforms</x:v>
      </x:c>
      <x:c r="F38" s="14" t="str">
        <x:v>Apurvanand Sahay, Arsene Indamutsa, Davide Di Ruscio, Alfonso Pierantonio</x:v>
      </x:c>
      <x:c r="G38" s="14" t="str">
        <x:v>2020 46th Euromicro Conference on Software Engineering and Advanced Applications (SEAA)</x:v>
      </x:c>
      <x:c r="H38" s="14" t="str">
        <x:v>Adoption / citizen development</x:v>
      </x:c>
      <x:c r="I38" s="14" t="str">
        <x:v>https://ieeexplore.ieee.org/abstract/document/9226356</x:v>
      </x:c>
      <x:c r="J38" s="14" t="str"/>
      <x:c r="K38" s="14" t="str">
        <x:v>Original URL only; not re-verified in this expansion pass</x:v>
      </x:c>
      <x:c r="L38" s="14" t="str">
        <x:v>previous old papers(3).xlsx</x:v>
      </x:c>
      <x:c r="M38" s="14" t="n">
        <x:v>18</x:v>
      </x:c>
      <x:c r="N38" s="14" t="n">
        <x:v>13</x:v>
      </x:c>
      <x:c r="O38" s="14" t="str">
        <x:v>Sahay A, Indamutsa A, Di Ruscio D, Pierantonio A. Supporting the understanding and comparison of low-code development platforms. In2020 46th Euromicro Conference on Software Engineering and Advanced Applications (SEAA) 2020 Aug 26 (pp. 171-178). IEEE.</x:v>
      </x:c>
      <x:c r="P38" s="14" t="str"/>
      <x:c r="Q38" s="14" t="n">
        <x:v>40</x:v>
      </x:c>
      <x:c r="R38" s="14" t="str">
        <x:v>Low-Code Development Platforms, Model Driven
 Engineering, Software Development</x:v>
      </x:c>
      <x:c r="S38" s="14" t="str">
        <x:v>—Low-code development platforms (LCDPs) are easy to
 use visual environments that are being increasingly introduced and promoted by major IT players to permit citizen developers to build their software systems even if they lack a programming background.
 Understanding and evaluating the LCDP to be employed for the particular problem at hand are difficult tasks mainly because decision-makers have to choose among hundreds of heterogeneous platforms, which are difficult to evaluate without dedicated support.
 Thus, a detailed classification is needed to elaborate on the existing
 low-code platforms and to help users find out the most appropriate
 platforms based on their requirements.
 In this paper, a technical survey of different LCDPs is presented
 by relying on a proposed conceptual comparative framework. In par
ticular, by analyzing eight representative LCDPs, a corresponding
 set of features have been identified to distil the functionalities and
 the services that each considered platform can support. The final
 aim is facilitating the understanding and the comparison of the low
code platforms that can best accommodate given user requirements.</x:v>
      </x:c>
    </x:row>
    <x:row r="39" ht="64" customHeight="1">
      <x:c r="A39" s="14" t="n">
        <x:v>38</x:v>
      </x:c>
      <x:c r="B39" s="14" t="str">
        <x:v>Original supplied record</x:v>
      </x:c>
      <x:c r="C39" s="14" t="str">
        <x:v>Screened out after title/abstract/quality screen</x:v>
      </x:c>
      <x:c r="D39" s="14" t="n">
        <x:v>2020</x:v>
      </x:c>
      <x:c r="E39" s="14" t="str">
        <x:v>Unleashing innovation using low 
code/no code – The age of the  
citizen developer</x:v>
      </x:c>
      <x:c r="F39" s="14" t="str">
        <x:v>Greg Smith, Michael Papadopoulos, Joshua Sanz, Michael Grech, Heather Norris</x:v>
      </x:c>
      <x:c r="G39" s="14" t="str">
        <x:v>The paper was published in Prism</x:v>
      </x:c>
      <x:c r="H39" s="14" t="str">
        <x:v>Adoption / citizen development</x:v>
      </x:c>
      <x:c r="I39" s="14" t="str">
        <x:v>arthur_d_little_prism_low_code_no_code.pdf</x:v>
      </x:c>
      <x:c r="J39" s="14" t="str"/>
      <x:c r="K39" s="14" t="str">
        <x:v>Original URL only; not re-verified in this expansion pass</x:v>
      </x:c>
      <x:c r="L39" s="14" t="str">
        <x:v>previous old papers(3).xlsx</x:v>
      </x:c>
      <x:c r="M39" s="14" t="n">
        <x:v>19</x:v>
      </x:c>
      <x:c r="N39" s="14" t="n">
        <x:v>14</x:v>
      </x:c>
      <x:c r="O39" s="14" t="str">
        <x:v>Smith G, Papadopoulos M, Sanz J, Grech M, Norris H. Unleashing innovation using low code/no code–The age of the citizen developer. Authur D. Little-Prism. 2020;1:1-6.</x:v>
      </x:c>
      <x:c r="P39" s="14" t="str"/>
      <x:c r="Q39" s="14" t="n">
        <x:v>40</x:v>
      </x:c>
      <x:c r="R39" s="14" t="str">
        <x:v>Low-code, No-code, Application Development, Innovation, Business Transformation.</x:v>
      </x:c>
      <x:c r="S39" s="14" t="str">
        <x:v>The paper discusses how enterprises can utilize low-code/no-code (LC/NC) solutions to empower their workforce in creating software that drives business growth and transformation. It emphasizes the ease of use and low learning curve associated with these platforms, allowing non-technical users to develop applications effectively 
</x:v>
      </x:c>
    </x:row>
    <x:row r="40" ht="64" customHeight="1">
      <x:c r="A40" s="14" t="n">
        <x:v>39</x:v>
      </x:c>
      <x:c r="B40" s="14" t="str">
        <x:v>Original supplied record</x:v>
      </x:c>
      <x:c r="C40" s="14" t="str">
        <x:v>Screened out after title/abstract/quality screen</x:v>
      </x:c>
      <x:c r="D40" s="14" t="n">
        <x:v>2024</x:v>
      </x:c>
      <x:c r="E40" s="14" t="str">
        <x:v>Analysing the Accessibility of Websites Built with Low
Code and No-Code Technologies in the Citizen 
Developer Context</x:v>
      </x:c>
      <x:c r="F40" s="14" t="str">
        <x:v>Drezner Wiktoria, Edigbe Emmanuel </x:v>
      </x:c>
      <x:c r="G40" s="14" t="str"/>
      <x:c r="H40" s="14" t="str">
        <x:v>Adoption / citizen development</x:v>
      </x:c>
      <x:c r="I40" s="14" t="str">
        <x:v>https://hj.diva-portal.org/smash/get/diva2:1879862/FULLTEXT01.pdf</x:v>
      </x:c>
      <x:c r="J40" s="14" t="str"/>
      <x:c r="K40" s="14" t="str">
        <x:v>Original URL only; not re-verified in this expansion pass</x:v>
      </x:c>
      <x:c r="L40" s="14" t="str">
        <x:v>previous old papers(3).xlsx</x:v>
      </x:c>
      <x:c r="M40" s="14" t="n">
        <x:v>20</x:v>
      </x:c>
      <x:c r="N40" s="14" t="n">
        <x:v>15</x:v>
      </x:c>
      <x:c r="O40" s="14" t="str">
        <x:v>Edigbe E, Drezner W. Accessible Low-Code No-Code Development: Analysing the Accessibility of Websites Built with Low-Code and No-Code Technologies in the Citizen Developer Context.</x:v>
      </x:c>
      <x:c r="P40" s="14" t="str"/>
      <x:c r="Q40" s="14" t="n">
        <x:v>40</x:v>
      </x:c>
      <x:c r="R40" s="14" t="str">
        <x:v>Low-code development, No-code development, Web development, Accessibility, Web 
Accessibility Guidelines, Web design, Citizen development, Websites</x:v>
      </x:c>
      <x:c r="S40" s="14" t="str">
        <x:v>The job market, technologies, and work methods have changed significantly. More 
businesses now lean towards low-code and no-code solutions to simplify web design 
and development. Companies are training their business professionals to become 
software developers due to a lack of resources. As a result, many websites are created 
by non-professionals, so-called citizen developers, using low-code and no-code tools. 
That raises concerns about whether such websites meet web accessibility standards. 
This study investigates the phenomena and spans results across three areas: the extent 
of compliance with accessibility guidelines (1), prevalent accessibility challenges (2), 
and optimal practices for accessibility enhancement (3). The research involves tasking 
five individuals with creating websites using different low-code and no-code tools: 
Wix, Webflow, WordPress.com, Weebly, and Google Sites. Then, the websites are 
objectively evaluated for accessibility adherence using Google Lighthouse Analytics 
and WCAG 2.2 criteria assessment. The results are then combined to compare the 
overall accessibility adherence. The research concludes that websites developed by 
citizen developers do not meet accessibility standards. Many websites struggle with the 
fundamental aspects of accessibility that are necessary for pleasant and comfortable 
use. To improve the situation, web developers—professionals and amateurs—should 
prioritise accessibility in web development and design. On the other hand, low-code 
and no-code platforms should try to implement accessibility features in their tools.</x:v>
      </x:c>
    </x:row>
    <x:row r="41" ht="64" customHeight="1">
      <x:c r="A41" s="14" t="n">
        <x:v>40</x:v>
      </x:c>
      <x:c r="B41" s="14" t="str">
        <x:v>Original supplied record</x:v>
      </x:c>
      <x:c r="C41" s="14" t="str">
        <x:v>Screened out after title/abstract/quality screen</x:v>
      </x:c>
      <x:c r="D41" s="14" t="n">
        <x:v>2024</x:v>
      </x:c>
      <x:c r="E41" s="14" t="str">
        <x:v>Exploring The Impact of Low-Code and No-Code On Traditional Software Developers</x:v>
      </x:c>
      <x:c r="F41" s="14" t="str">
        <x:v>KENNETH WAYNE KEITH </x:v>
      </x:c>
      <x:c r="G41" s="14" t="str">
        <x:v>Submitted to National University 
School of Technology &amp; Engineering 
in Partial Fulfillment of the 
Requirements for the Degree of 
DOCTOR OF COMPUTER SCIENCE</x:v>
      </x:c>
      <x:c r="H41" s="14" t="str">
        <x:v>Security / governance / risk</x:v>
      </x:c>
      <x:c r="I41" s="14" t="str">
        <x:v>https://www.proquest.com/openview/053741ed8dccff5fd460a20145459951/1?cbl=18750&amp;diss=y&amp;pq-origsite=gscholar</x:v>
      </x:c>
      <x:c r="J41" s="14" t="str"/>
      <x:c r="K41" s="14" t="str">
        <x:v>Original URL only; not re-verified in this expansion pass</x:v>
      </x:c>
      <x:c r="L41" s="14" t="str">
        <x:v>previous old papers(3).xlsx</x:v>
      </x:c>
      <x:c r="M41" s="14" t="n">
        <x:v>21</x:v>
      </x:c>
      <x:c r="N41" s="14" t="n">
        <x:v>16</x:v>
      </x:c>
      <x:c r="O41" s="14" t="str">
        <x:v>Keith KW. Exploring the Impact of Low-Code and No-Code on Traditional Software Developers (Doctoral dissertation, Northcentral University).</x:v>
      </x:c>
      <x:c r="P41" s="14" t="str"/>
      <x:c r="Q41" s="14" t="n">
        <x:v>40</x:v>
      </x:c>
      <x:c r="R41" s="14" t="str">
        <x:v>Low-code technologies
No-code technologies
Software developers
Job security
Job satisfaction
Skill valuation</x:v>
      </x:c>
      <x:c r="S41" s="14" t="str">
        <x:v>In this research, the potential impacts of low-code and no-code technology use and adoption on 
traditional software developers were examined. Existing research primarily focused on the value 
and benefits in productivity and efficiency associated with adopting and using low-code or no
code technologies. Therefore, this qualitative grounded theory study explored three research 
questions emphasizing the experiences and perceptions of traditional software developers 
influenced by these technologies concerning job security, job satisfaction, and skill valuation. 
Job Characteristics Theory (JCT) served as the guiding theoretical framework, focusing on 
discovering perceptions and concerns related to traditional software developers' job security, job 
satisfaction, and skill valuation. The study investigated how evolving software development 
technologies such as low-code and no-code are likely to impact traditional software developer 
job characteristics. To gain insights, the researcher conducted open-ended interviews with ten 
participants associated with organizations on the northeast coast of the United States engaged in 
significant software development activities. The responses to the interview questions were 
analyzed using open, axial, and selective coding techniques and led to the discovery of the main 
themes and findings within the study. The findings revealed that, while software developers were 
open to using and adopting modern technologies, there were concerns that the prioritization of 
technologies limiting creativity, productivity, and functionality would fundamentally negatively 
impact their job characteristics. Another finding indicated conflicting views on the benefits and 
empowerment of employees using low-code and no-code technologies. Traditional software 
developers perceived this conflict as devaluing and increasing concerns about job security and 
career prospects. This dissertation contributes to the ongoing discourse on the evolving 
landscape of software development, providing insights into the intricate interplay between 
traditional software development practices and adopting modern software development 
methodologies associated with modern technologies such as low-code and no-code. </x:v>
      </x:c>
    </x:row>
    <x:row r="42" ht="64" customHeight="1">
      <x:c r="A42" s="14" t="n">
        <x:v>41</x:v>
      </x:c>
      <x:c r="B42" s="14" t="str">
        <x:v>Original supplied record</x:v>
      </x:c>
      <x:c r="C42" s="14" t="str">
        <x:v>Screened out after title/abstract/quality screen</x:v>
      </x:c>
      <x:c r="D42" s="14" t="n">
        <x:v>2024</x:v>
      </x:c>
      <x:c r="E42" s="14" t="str">
        <x:v>Catalysts of Change: Citizen Developers Driving Digital Innovation: A look into the empowerment of Non-Traditional Developers using Low-code Digital Platforms to drive innovation</x:v>
      </x:c>
      <x:c r="F42" s="14" t="str">
        <x:v> Andre Atherley</x:v>
      </x:c>
      <x:c r="G42" s="14" t="str"/>
      <x:c r="H42" s="14" t="str">
        <x:v>Adoption / citizen development</x:v>
      </x:c>
      <x:c r="I42" s="14" t="str">
        <x:v>Regeldokument - Linnéuniversitetet</x:v>
      </x:c>
      <x:c r="J42" s="14" t="str"/>
      <x:c r="K42" s="14" t="str">
        <x:v>Original URL only; not re-verified in this expansion pass</x:v>
      </x:c>
      <x:c r="L42" s="14" t="str">
        <x:v>previous old papers(3).xlsx</x:v>
      </x:c>
      <x:c r="M42" s="14" t="n">
        <x:v>22</x:v>
      </x:c>
      <x:c r="N42" s="14" t="n">
        <x:v>17</x:v>
      </x:c>
      <x:c r="O42" s="14" t="str">
        <x:v>Atherley A. Catalysts of Change: Citizen Developers Driving Digital Innovation: A look into the empowerment of Non-Traditional Developers using Low-code Digital Platforms to drive innovation.</x:v>
      </x:c>
      <x:c r="P42" s="14" t="str"/>
      <x:c r="Q42" s="14" t="n">
        <x:v>40</x:v>
      </x:c>
      <x:c r="R42" s="14" t="str">
        <x:v>Citizen Developers, Low-Code Development Platforms (LCDPs) 
Digital Innovation, Employee-Driven Digital Innovation (EDDI), Digital Transformation 
Democratisation of Development, Non-Traditional Developers, Decentralised IT, 
Organisational Change, Prototyping with Low-Code, Organisational Agility, Employee 
Empowerment, Technology Adoption </x:v>
      </x:c>
      <x:c r="S42" s="14" t="str">
        <x:v>A 2019 report on a global shortage of traditionally skilled software developers resulted in 
businesses of varying sizes looking at a variety of innovative ways to fill gaps within 
organisations to meet IT needs. One such avenue was through leveraging the abilities of Low
code Development Platforms (LCDPs), which gave rise to Citizen Developers spearheading 
digital innovation. This qualitative study investigates the ways in which Citizen Developers, 
often described as non-traditional developers, are driving digital innovation within 
organisations. This study aims to gain further insight into the paradigm of Citizen 
development in the context of employee-centred digital innovation. Semi-structured 
interviews were conducted with six Citizen Developers based in Europe. Data from these 
interviews was used to conduct a thematic analysis, from which important themes emerged. 
The findings of Citizen Developers leveraging LCDPs showed; enhanced operational 
efficiency and organisational agility using automation and other tools. As the key component 
of this paradigm is employees, who are the Citizen Developers, the Employee-Driven Digital 
Innovation Actions framework was used to analyse this concept. However, this study also 
highlights several challenges faced by Citizen Developers when trying to drive digital 
innovation, including the steep learning curve and limitations with LCDPs. Nonetheless, 
autonomy and democratisation of the software development process provided by LCDPs 
result in less reliance on traditional IT structures, more employees can enter software 
development without traditional software skills, ultimately leading to a more agile and 
innovative culture within the organisation. The findings from the research provide valuable 
insight from the perspectives of Citizen Developers, guiding organisations aiming to leverage 
low-code tools and allowing employee-led digital innovation to be a driving factor when 
producing innovative solutions.  </x:v>
      </x:c>
    </x:row>
    <x:row r="43" ht="64" customHeight="1">
      <x:c r="A43" s="14" t="n">
        <x:v>42</x:v>
      </x:c>
      <x:c r="B43" s="14" t="str">
        <x:v>Original supplied record</x:v>
      </x:c>
      <x:c r="C43" s="14" t="str">
        <x:v>Screened out after title/abstract/quality screen</x:v>
      </x:c>
      <x:c r="D43" s="14" t="n">
        <x:v>2023</x:v>
      </x:c>
      <x:c r="E43" s="14" t="str">
        <x:v>Taking the Matter in their own Hands – Can Business Unit Developers Fullfill their 
Digital Demands with Low-Code Development Platforms?</x:v>
      </x:c>
      <x:c r="F43" s="14" t="str">
        <x:v>Katharina Frosch, Olga Levina </x:v>
      </x:c>
      <x:c r="G43" s="14" t="str">
        <x:v>ICDS 2023 : The Seventeenth International Conference on Digital Society</x:v>
      </x:c>
      <x:c r="H43" s="14" t="str">
        <x:v>Adoption / citizen development</x:v>
      </x:c>
      <x:c r="I43" s="14" t="str">
        <x:v>Paper Title (use style: paper title)</x:v>
      </x:c>
      <x:c r="J43" s="14" t="str"/>
      <x:c r="K43" s="14" t="str">
        <x:v>Original URL only; not re-verified in this expansion pass</x:v>
      </x:c>
      <x:c r="L43" s="14" t="str">
        <x:v>previous old papers(3).xlsx</x:v>
      </x:c>
      <x:c r="M43" s="14" t="n">
        <x:v>23</x:v>
      </x:c>
      <x:c r="N43" s="14" t="n">
        <x:v>18</x:v>
      </x:c>
      <x:c r="O43" s="14" t="str">
        <x:v>Frosch K, Levina O. Taking the Matter in their own Hands–Can Business Unit Developers Fullfill their Digital Demands with Low-Code Development Platforms?. InProceedings of the International Conference on Digital Society (ICDS2023). Venice, Italy 2023 Apr.</x:v>
      </x:c>
      <x:c r="P43" s="14" t="str"/>
      <x:c r="Q43" s="14" t="n">
        <x:v>40</x:v>
      </x:c>
      <x:c r="R43" s="14" t="str">
        <x:v>low code development platforms; software 
development proces; digital novices; socially-aware software; 
performance indicators </x:v>
      </x:c>
      <x:c r="S43" s="14" t="str">
        <x:v>Low Code Development Platforms (LCDP) often 
promise an easy and fast way to include data processing and 
support into the otherwise non-digital process. Nevertheless, it 
often remains unclear, besides anecdotal evidence, how business 
users are getting on with transformation of business 
requirements into the software. This research explores the 
potential low code development has for business users to address 
their needs for process support via software tools. The 
experiment was chosen as the research method to assess the 
feasibility of software development with LCDP by novices. The 
results point towards a dedicated LCDP implementation 
approach if the technology is to be implemented in the business 
context. Hence, the research provides suggestions on how 
Business Unit Developers (BUD) can be supported to efficiently 
deliver productive results and how to assess LCDP-based 
development process and points towards potential challenges of 
LCDP implementation. </x:v>
      </x:c>
    </x:row>
    <x:row r="44" ht="64" customHeight="1">
      <x:c r="A44" s="14" t="n">
        <x:v>43</x:v>
      </x:c>
      <x:c r="B44" s="14" t="str">
        <x:v>Original supplied record</x:v>
      </x:c>
      <x:c r="C44" s="14" t="str">
        <x:v>Screened out after title/abstract/quality screen</x:v>
      </x:c>
      <x:c r="D44" s="14" t="n">
        <x:v>2020</x:v>
      </x:c>
      <x:c r="E44" s="14" t="str">
        <x:v>Low-Code as Enabler of Digital Transformation in Manufacturing Industry</x:v>
      </x:c>
      <x:c r="F44" s="14" t="str">
        <x:v>Raquel Sanchis 1,*, Óscar García-Perales 2, Francisco Fraile 3 and Raul Poler 1</x:v>
      </x:c>
      <x:c r="G44" s="14" t="str">
        <x:v> Appl. Sci. 2020, 10, 12; doi:10.3390/app10010012</x:v>
      </x:c>
      <x:c r="H44" s="14" t="str">
        <x:v>Review / SLR / mapping</x:v>
      </x:c>
      <x:c r="I44" s="14" t="str">
        <x:v>https://www.mdpi.com/2076-3417/10/1/12</x:v>
      </x:c>
      <x:c r="J44" s="14" t="str"/>
      <x:c r="K44" s="14" t="str">
        <x:v>Original URL only; not re-verified in this expansion pass</x:v>
      </x:c>
      <x:c r="L44" s="14" t="str">
        <x:v>previous old papers(3).xlsx</x:v>
      </x:c>
      <x:c r="M44" s="14" t="n">
        <x:v>24</x:v>
      </x:c>
      <x:c r="N44" s="14" t="n">
        <x:v>19</x:v>
      </x:c>
      <x:c r="O44" s="14" t="str">
        <x:v>Sanchis R, García-Perales Ó, Fraile F, Poler R. Low-code as enabler of digital transformation in manufacturing industry. Applied Sciences. 2019 Dec 18;10(1):12.</x:v>
      </x:c>
      <x:c r="P44" s="14" t="str"/>
      <x:c r="Q44" s="14" t="n">
        <x:v>40</x:v>
      </x:c>
      <x:c r="R44" s="14" t="str">
        <x:v> low-code; trend; vf-OS; digital; platform; apps</x:v>
      </x:c>
      <x:c r="S44" s="14" t="str">
        <x:v> Currently, enterprises have to make quick and resilient responses to changing market
 requirements. In light of this, low-code development platforms provide the technology mechanisms
 to facilitate and automate the development of software applications to support current enterprise
 needs andpromotedigital transformation. Based on a theory-building research methodology through
 the literature and other information sources review, the main contribution of this paper is the current
 characterisation of the emerging low-code domain following the foundations of the computer-aided
 software engineering field. A context analysis, focused on the current status of research related to
 the low-code development platforms, is performed. Moreover, benchmarking among the existing
 low-code development platforms addressed to manufacturing industry is analysed to identify the
 current lacking features. As an illustrative example of the emerging low-code paradigm and respond
 to the identified uncovered features, the virtual factory open operating system (vf-OS) platform
 is described as an open multi-sided low-code framework able to manage the overall network of a
 collaborativemanufacturingandlogisticsenvironmentthatenableshumans,applications,andInternet
 ofThings(IoT)devicestoseamlesslycommunicateandinteroperateintheinterconnectedenvironment,
 promoting resilient digital transformation.</x:v>
      </x:c>
    </x:row>
    <x:row r="45" ht="64" customHeight="1">
      <x:c r="A45" s="14" t="n">
        <x:v>44</x:v>
      </x:c>
      <x:c r="B45" s="14" t="str">
        <x:v>Original supplied record</x:v>
      </x:c>
      <x:c r="C45" s="14" t="str">
        <x:v>Screened out after title/abstract/quality screen</x:v>
      </x:c>
      <x:c r="D45" s="14" t="n">
        <x:v>2022</x:v>
      </x:c>
      <x:c r="E45" s="14" t="str">
        <x:v>ICT-enabled Job Crafting: 
How Business Unit Developers use Low
code Development Platforms to Craft Jobs</x:v>
      </x:c>
      <x:c r="F45" s="14" t="str">
        <x:v>1. Mahei Manhai Li 
University of Kassel, mahei.li@uni-kassel.de 
2. Christoph Peters 
University of St. Gallen, christoph.peters@unisg.ch 
3. Mathis Poser 
University of Hamburg, poser@informatik.uni-hamburg.de 
4. Karen Eilers 
University of Kassel, karen.eilers@uni-kassel.de 
5. Edona Elshan 
Institute of Information Management, edona.elshan@unisg.ch</x:v>
      </x:c>
      <x:c r="G45" s="14" t="str">
        <x:v> It has been accepted for inclusion in ICIS 2022 Proceedings by an authorized administrator of AIS 
Electronic Library (AISeL)</x:v>
      </x:c>
      <x:c r="H45" s="14" t="str">
        <x:v>Adoption / citizen development</x:v>
      </x:c>
      <x:c r="I45" s="14" t="str">
        <x:v>https://www.alexandria.unisg.ch/server/api/core/bitstreams/831340eb-b7d9-4fe0-bc92-cf7a6f326af3/content</x:v>
      </x:c>
      <x:c r="J45" s="14" t="str"/>
      <x:c r="K45" s="14" t="str">
        <x:v>Original URL only; not re-verified in this expansion pass</x:v>
      </x:c>
      <x:c r="L45" s="14" t="str">
        <x:v>previous old papers(3).xlsx</x:v>
      </x:c>
      <x:c r="M45" s="14" t="n">
        <x:v>25</x:v>
      </x:c>
      <x:c r="N45" s="14" t="n">
        <x:v>20</x:v>
      </x:c>
      <x:c r="O45" s="14" t="str">
        <x:v>Li MM, Peters C, Poser M, Eilers K, Elshan E. ICT-enabled job crafting: How Business Unit Developers use Low-code Development Platforms to craft jobs.</x:v>
      </x:c>
      <x:c r="P45" s="14" t="str"/>
      <x:c r="Q45" s="14" t="n">
        <x:v>40</x:v>
      </x:c>
      <x:c r="R45" s="14" t="str">
        <x:v>Job crafting, resource demand theory, low code development platform, LCDP,  
no-code, work system, work design, job roles </x:v>
      </x:c>
      <x:c r="S45" s="14" t="str">
        <x:v>Recently, businesses are introducing low-code development platforms (LCDP) that enable 
employees with little to no development expertise to develop their own systems to improve their 
work. These so-called business unit developers (BUDs) possess necessary domain knowledge to 
understand how to use LCDPs to create useful (self-) services. Using job resource demand theory 
and the job crafting model, we conceptualize that BUDs use of LCDPs can be framed using the 
theoretical lens of job crafting. Job crafting stems from vocational psychology and provides well
researched positive consequences, such as wellbeing and meaningfulness. Thus, our research 
objective is to understand how BUDs can use LCDPs to job craft to gain access to positive job 
crafting consequences. We interviewed 17 experts across three organizations that employ an 
LDCP for chatbots. Our results suggest that job crafting is a suitable framework for 
understanding the effects of LCDP use. </x:v>
      </x:c>
    </x:row>
    <x:row r="46" ht="64" customHeight="1">
      <x:c r="A46" s="14" t="n">
        <x:v>45</x:v>
      </x:c>
      <x:c r="B46" s="14" t="str">
        <x:v>Original supplied record</x:v>
      </x:c>
      <x:c r="C46" s="14" t="str">
        <x:v>Screened out after title/abstract/quality screen</x:v>
      </x:c>
      <x:c r="D46" s="14" t="n">
        <x:v>2021</x:v>
      </x:c>
      <x:c r="E46" s="14" t="str">
        <x:v>The Forrester Wave™: Low-Code Development 
Platforms For Professional Developers, Q2 2021</x:v>
      </x:c>
      <x:c r="F46" s="14" t="str">
        <x:v>John Bratincevic and Rob Koplowitz
 with Stephen Powers, Sara Sjoblom, and Kara Hartig</x:v>
      </x:c>
      <x:c r="G46" s="14" t="str"/>
      <x:c r="H46" s="14" t="str">
        <x:v>General LCNC</x:v>
      </x:c>
      <x:c r="I46" s="14" t="str">
        <x:v>https://economicmatter.com/wp-content/uploads/2022/02/The-Forrester-Wave-Low-Code-Development-Platforms.pdf</x:v>
      </x:c>
      <x:c r="J46" s="14" t="str"/>
      <x:c r="K46" s="14" t="str">
        <x:v>Original URL only; not re-verified in this expansion pass</x:v>
      </x:c>
      <x:c r="L46" s="14" t="str">
        <x:v>previous old papers(3).xlsx</x:v>
      </x:c>
      <x:c r="M46" s="14" t="n">
        <x:v>26</x:v>
      </x:c>
      <x:c r="N46" s="14" t="n">
        <x:v>21</x:v>
      </x:c>
      <x:c r="O46" s="14" t="str">
        <x:v>Bratincevic J, Koplowitz R. The forrester wave™: Low-code development platforms for professional developers, Q2 2021. Forrester Research. 2021 May 11.</x:v>
      </x:c>
      <x:c r="P46" s="14" t="str"/>
      <x:c r="Q46" s="14" t="n">
        <x:v>40</x:v>
      </x:c>
      <x:c r="R46" s="14" t="str">
        <x:v> Low-Code Development Platforms, Professional Developers, Agile, R&amp;D, Data-Centric Applications, Process-Driven Applications.</x:v>
      </x:c>
      <x:c r="S46" s="14" t="str">
        <x:v>The paper discusses various vendors in the low-code development platform market, highlighting their capabilities and how they stack up against each other. It emphasizes the importance of selecting the right vendor based on specific needs, as some vendors provide comprehensive tooling while others focus on integration with existing DevOps toolchains </x:v>
      </x:c>
    </x:row>
    <x:row r="47" ht="64" customHeight="1">
      <x:c r="A47" s="14" t="n">
        <x:v>46</x:v>
      </x:c>
      <x:c r="B47" s="14" t="str">
        <x:v>Original supplied record</x:v>
      </x:c>
      <x:c r="C47" s="14" t="str">
        <x:v>Final Top 50</x:v>
      </x:c>
      <x:c r="D47" s="14" t="n">
        <x:v>2024</x:v>
      </x:c>
      <x:c r="E47" s="14" t="str">
        <x:v>Measuring End-user Developers’
 Episodic Experience
 of a Low-code Development Platform</x:v>
      </x:c>
      <x:c r="F47" s="14" t="str">
        <x:v>Dongmei Gao? , Fabian Fagerholm?</x:v>
      </x:c>
      <x:c r="G47" s="14" t="str">
        <x:v>e-Informatica Software Engineering Journal(EISEJ)</x:v>
      </x:c>
      <x:c r="H47" s="14" t="str">
        <x:v>End-user DX measurement</x:v>
      </x:c>
      <x:c r="I47" s="14" t="str">
        <x:v>https://www.e-informatyka.pl/index.php/einformatica/volumes/volume-2024/issue-1/article-5/</x:v>
      </x:c>
      <x:c r="J47" s="14" t="str">
        <x:v>https://yadda.icm.edu.pl/baztech/element/bwmeta1.element.baztech-3f7fe73e-7030-4dc1-a483-23cf09c9a351/c/gao_measuring_ei_2024.pdf</x:v>
      </x:c>
      <x:c r="K47" s="14" t="str">
        <x:v>Repository PDF</x:v>
      </x:c>
      <x:c r="L47" s="14" t="str">
        <x:v>previous old papers(3).xlsx</x:v>
      </x:c>
      <x:c r="M47" s="14" t="n">
        <x:v>27</x:v>
      </x:c>
      <x:c r="N47" s="14" t="n">
        <x:v>22</x:v>
      </x:c>
      <x:c r="O47" s="14" t="str">
        <x:v>Gao D, Fagerholm F. Measuring End-user Developers’ Episodic Experience of a Low-code Development Platform. e-Informatica Software Engineering Journal. 2024 Mar 1;18(1):240105.</x:v>
      </x:c>
      <x:c r="P47" s="14" t="str">
        <x:v>Recent measurement study focused on episodic experience in a low-code platform.</x:v>
      </x:c>
      <x:c r="Q47" s="14" t="n">
        <x:v>76</x:v>
      </x:c>
      <x:c r="R47" s="14" t="str">
        <x:v>developer experience, episodic experience, low-code development plat
forms, experience measurement, software engineering, human-computer interaction</x:v>
      </x:c>
      <x:c r="S47" s="14" t="str">
        <x:v>Background: As low-code development platforms (LCDPs) are becoming a trend,
 understanding how end-user developers think and feel as they work with such platforms
 is important. Particularly, assessing experiences during episodes of use can contribute to
 overall experience throughout long-term use.
 Aim: This paper aims to understand end-user developers’ episodic experience when they
 are building an application on a low-code platform and to provide guidance on how such
 experiences can be measured.
 Method: We designed the Episodic Developer Experience Questionnaire for LCDPs
 based on prior literature and refined it through expert Delphi sessions. The instrument
 contains 10 individual experience items, capturing various aspects of episodic experience.
 We further validated it through remote online tests on an LCDP.
 Results: The results showed significant differences in the relationships between items
 describing aspects of overall experience and items describing perceptions of tool quality
 and task difficulty. Programming expertise also affected end-user developers’ episodic
 experience.
 Conclusion: The study illustrates the design of questionnaire-based experience assessment
 in the context of development and identifies the importance of separating personal
 experience from assessment of tasks and tools since tool quality and task difficulty do not
 necessarily influence experience straightforwardly.</x:v>
      </x:c>
    </x:row>
    <x:row r="48" ht="64" customHeight="1">
      <x:c r="A48" s="14" t="n">
        <x:v>47</x:v>
      </x:c>
      <x:c r="B48" s="14" t="str">
        <x:v>Original supplied record</x:v>
      </x:c>
      <x:c r="C48" s="14" t="str">
        <x:v>Screened out after title/abstract/quality screen</x:v>
      </x:c>
      <x:c r="D48" s="14" t="n">
        <x:v>2023</x:v>
      </x:c>
      <x:c r="E48" s="14" t="str">
        <x:v>Could No-Code Be Code? Toward a No-Code Programming Language for Citizen Developers</x:v>
      </x:c>
      <x:c r="F48" s="14" t="str">
        <x:v> Assaf Avishahar-Zeira,  David H. Lorenz</x:v>
      </x:c>
      <x:c r="G48" s="14" t="str">
        <x:v> 2023 ACM SIGPLAN Inter
national Symposium on New Ideas, New Paradigms, and Re ec
tions on Programming and Software </x:v>
      </x:c>
      <x:c r="H48" s="14" t="str">
        <x:v>Adoption / citizen development</x:v>
      </x:c>
      <x:c r="I48" s="14" t="str">
        <x:v>https://dl.acm.org/doi/abs/10.1145/3622758.3622893</x:v>
      </x:c>
      <x:c r="J48" s="14" t="str"/>
      <x:c r="K48" s="14" t="str">
        <x:v>Original URL only; not re-verified in this expansion pass</x:v>
      </x:c>
      <x:c r="L48" s="14" t="str">
        <x:v>previous old papers(3).xlsx</x:v>
      </x:c>
      <x:c r="M48" s="14" t="n">
        <x:v>28</x:v>
      </x:c>
      <x:c r="N48" s="14" t="n">
        <x:v>23</x:v>
      </x:c>
      <x:c r="O48" s="14" t="str">
        <x:v>Avishahar-Zeira A, Lorenz DH. Could no-code be code? Toward a no-code programming language for citizen developers. InProceedings of the 2023 ACM SIGPLAN International Symposium on New Ideas, New Paradigms, and Reflections on Programming and Software 2023 Oct 18 (pp. 103-119).</x:v>
      </x:c>
      <x:c r="P48" s="14" t="str"/>
      <x:c r="Q48" s="14" t="n">
        <x:v>40</x:v>
      </x:c>
      <x:c r="R48" s="14" t="str">
        <x:v>Citizen Developers, Golang, No-Code Software
 Development, Projectional Editing, Programming Language
 Design.</x:v>
      </x:c>
      <x:c r="S48" s="14" t="str">
        <x:v> By 2030 for each lled position in Software Engineering, two positions would remain un lled. This already apparent loss of productivity has the software industry scrambling to ll the missing positions with citizen developers—technical people with little or no programmingskills—whowouldbeusing No-Code platforms to program various software solutions in specic domains. However, currently available platforms have fairly limited abstractions, lacking the exibility of a general purpose programming language. To break the No-Code abstraction barrier, a very simple yet expressive general purpose No-Code programming language might provide citizen developers with an alternative to domain-speci c No-Code platforms. Unfortunately, these requirements seem contradictory. Making a language very simple and speci c might render it crippled, thus limited to a certain domain of problems. Conversely, making a language very expressive and general, might render it too complicated
 for citizen developers.
 In this work we argue that a multi-paradigm minimalist
 approach can bridge the gap between simplicity and expressiveness by including only abstractions considered intuitive to citizens. As a concrete proof-of-concept, we present a general purpose programming language designed for citizen developers that is on the one hand very powerful and on the other hand very simple. In fact, this language is so simple that the entire development is accomplished by owcharts using mouse actions only, without typing a single line of code, thus demonstrating a general purpose No-Code programming language candidate for citizen developers.</x:v>
      </x:c>
    </x:row>
    <x:row r="49" ht="64" customHeight="1">
      <x:c r="A49" s="14" t="n">
        <x:v>48</x:v>
      </x:c>
      <x:c r="B49" s="14" t="str">
        <x:v>Original supplied record</x:v>
      </x:c>
      <x:c r="C49" s="14" t="str">
        <x:v>Screened out after title/abstract/quality screen</x:v>
      </x:c>
      <x:c r="D49" s="14" t="n">
        <x:v>2021</x:v>
      </x:c>
      <x:c r="E49" s="14" t="str">
        <x:v>Towards the no-code era: a vision and plan for the future of software development</x:v>
      </x:c>
      <x:c r="F49" s="14" t="str">
        <x:v> Ahmed ElBatanony,  Giancarlo Succi
 </x:v>
      </x:c>
      <x:c r="G49" s="14" t="str">
        <x:v>e1stACMSIGPLAN International Workshop on Beyond Code: No Code (BCNC ’21)</x:v>
      </x:c>
      <x:c r="H49" s="14" t="str">
        <x:v>General LCNC</x:v>
      </x:c>
      <x:c r="I49" s="14" t="str">
        <x:v>https://dl.acm.org/doi/abs/10.1145/3486949.3486965</x:v>
      </x:c>
      <x:c r="J49" s="14" t="str"/>
      <x:c r="K49" s="14" t="str">
        <x:v>Original URL only; not re-verified in this expansion pass</x:v>
      </x:c>
      <x:c r="L49" s="14" t="str">
        <x:v>previous old papers(3).xlsx</x:v>
      </x:c>
      <x:c r="M49" s="14" t="n">
        <x:v>29</x:v>
      </x:c>
      <x:c r="N49" s="14" t="n">
        <x:v>24</x:v>
      </x:c>
      <x:c r="O49" s="14" t="str">
        <x:v>ElBatanony A, Succi G. Towards the no-code era: a vision and plan for the future of software development. InProceedings of the 1st ACM SIGPLAN International Workshop on Beyond Code: No Code 2021 Oct 17 (pp. 29-35).</x:v>
      </x:c>
      <x:c r="P49" s="14" t="str"/>
      <x:c r="Q49" s="14" t="n">
        <x:v>40</x:v>
      </x:c>
      <x:c r="R49" s="14" t="str">
        <x:v> No-code, Configuration Driven Development,
 API, Cloud Computing, Design Systems, Cross-platform,
 Open-source</x:v>
      </x:c>
      <x:c r="S49" s="14" t="str">
        <x:v> This paper provides a highly opinionated and biased vision
 and a two-stage plan with guidelines to reach a new era of
 software development, where anyone can create software
 without bothering to write code. Moreover, this paper ex
plores in depth the first of these stages, which consists of
 creating a no-code tool based on six principles: configura
tion driven development, APIs, open-source, cross-platform,
 cloud computing, and design systems. An examination of
 each principle is presented and a case is made for why such
 a combination of principles would lay the foundation for
 future development efforts [28]. Possible enquiries are ad
dressed and a path is laid out for future works.</x:v>
      </x:c>
    </x:row>
    <x:row r="50" ht="64" customHeight="1">
      <x:c r="A50" s="14" t="n">
        <x:v>49</x:v>
      </x:c>
      <x:c r="B50" s="14" t="str">
        <x:v>Original supplied record</x:v>
      </x:c>
      <x:c r="C50" s="14" t="str">
        <x:v>Screened out after title/abstract/quality screen</x:v>
      </x:c>
      <x:c r="D50" s="14" t="n">
        <x:v>2021</x:v>
      </x:c>
      <x:c r="E50" s="14" t="str">
        <x:v>The Impacts of Low/No-Code Development on Digital 
Transformation and Software Development</x:v>
      </x:c>
      <x:c r="F50" s="14" t="str">
        <x:v>Zhaohang Yan</x:v>
      </x:c>
      <x:c r="G50" s="14" t="str">
        <x:v>
arXiv (Cornell University)</x:v>
      </x:c>
      <x:c r="H50" s="14" t="str">
        <x:v>Adoption / citizen development</x:v>
      </x:c>
      <x:c r="I50" s="14" t="str">
        <x:v>https://arxiv.org/pdf/2112.14073</x:v>
      </x:c>
      <x:c r="J50" s="14" t="str"/>
      <x:c r="K50" s="14" t="str">
        <x:v>Original URL only; not re-verified in this expansion pass</x:v>
      </x:c>
      <x:c r="L50" s="14" t="str">
        <x:v>previous old papers(3).xlsx</x:v>
      </x:c>
      <x:c r="M50" s="14" t="n">
        <x:v>30</x:v>
      </x:c>
      <x:c r="N50" s="14" t="n">
        <x:v>25</x:v>
      </x:c>
      <x:c r="O50" s="14" t="str"/>
      <x:c r="P50" s="14" t="str"/>
      <x:c r="Q50" s="14" t="n">
        <x:v>40</x:v>
      </x:c>
      <x:c r="R50" s="14" t="str">
        <x:v>Software development, Digital transformation, Lowcode
development, No-code development</x:v>
      </x:c>
      <x:c r="S50" s="14" t="str">
        <x:v>Abstract—Low/No-code development is a software development
method that provides users with a platform for visually creating
applications with little or no coding. Companies and
organizations need software applications and information
systems for various business purposes like management in the
technology era. Low/No-code development gives non-IT
professionals a convenient tool for rapidly building simple
business applications they need without or with little coding. In
this paper, we explored the benefits &amp; limitations of Low/No-
Code development and modern Low/No-Code development
platforms in the industry. In addition, we analyzed how it can be
improved and prospected the impacts of Low/No-Code
development on society and related industries in the future. In
conclusion, we find that Low/No-code development is a promising
trend that can significantly impact future software development
and digital transformation.</x:v>
      </x:c>
    </x:row>
    <x:row r="51" ht="64" customHeight="1">
      <x:c r="A51" s="14" t="n">
        <x:v>50</x:v>
      </x:c>
      <x:c r="B51" s="14" t="str">
        <x:v>Original supplied record</x:v>
      </x:c>
      <x:c r="C51" s="14" t="str">
        <x:v>Screened out after title/abstract/quality screen</x:v>
      </x:c>
      <x:c r="D51" s="14" t="n">
        <x:v>2021</x:v>
      </x:c>
      <x:c r="E51" s="14" t="str">
        <x:v>NO-CODE APPLICATION DEVELOPMENT ON THE EXAMPLE OF LOGOTEC APP STUDIO PLATFORM</x:v>
      </x:c>
      <x:c r="F51" s="14" t="str">
        <x:v>
Monika Moskal</x:v>
      </x:c>
      <x:c r="G51" s="14" t="str">
        <x:v>
Informatyka Automatyka Pomiary w Gospodarce i Ochronie ?rodowiska</x:v>
      </x:c>
      <x:c r="H51" s="14" t="str">
        <x:v>Adoption / citizen development</x:v>
      </x:c>
      <x:c r="I51" s="14" t="str">
        <x:v>https://ph.pollub.pl/index.php/iapgos/article/view/2429</x:v>
      </x:c>
      <x:c r="J51" s="14" t="str"/>
      <x:c r="K51" s="14" t="str">
        <x:v>Original URL only; not re-verified in this expansion pass</x:v>
      </x:c>
      <x:c r="L51" s="14" t="str">
        <x:v>previous old papers(3).xlsx</x:v>
      </x:c>
      <x:c r="M51" s="14" t="n">
        <x:v>31</x:v>
      </x:c>
      <x:c r="N51" s="14" t="n">
        <x:v>26</x:v>
      </x:c>
      <x:c r="O51" s="14" t="str"/>
      <x:c r="P51" s="14" t="str"/>
      <x:c r="Q51" s="14" t="n">
        <x:v>40</x:v>
      </x:c>
      <x:c r="R51" s="14" t="str">
        <x:v>no-code technology, no-code application development platform, Logotec App Studio</x:v>
      </x:c>
      <x:c r="S51" s="14" t="str">
        <x:v>Digitalisation is one of the major trends which changes society and businesses. Digitalisation include buying software helping in the automatization of business process. Gaining competitive advantage can be achieved by implementing dedicated (customized) IT solutions tailored to the specificity of a given enterprise. However, dedicated solutions are expensive, and many companies cannot afford them. No-code technology – the newest trend in the IT sector – are said to be the solution to this problem. The article discusses why no-code technology is gaining popularity. The paper also presents the differences between no-code and traditional programming approaches. A detailed description of no-code technology was based on the investigation of a no-code platform called Logotec App Studio. The article stresses the possible applications of no-code tools in companies’ digitalisation process.</x:v>
      </x:c>
    </x:row>
    <x:row r="52" ht="64" customHeight="1">
      <x:c r="A52" s="14" t="n">
        <x:v>51</x:v>
      </x:c>
      <x:c r="B52" s="14" t="str">
        <x:v>Original supplied record</x:v>
      </x:c>
      <x:c r="C52" s="14" t="str">
        <x:v>Screened out after title/abstract/quality screen</x:v>
      </x:c>
      <x:c r="D52" s="14" t="n">
        <x:v>2024</x:v>
      </x:c>
      <x:c r="E52" s="14" t="str">
        <x:v>Low-Code/No-Code Platforms and Their  
Impact on Traditional Software  
Development: A Literature Review</x:v>
      </x:c>
      <x:c r="F52" s="14" t="str">
        <x:v>Nitesh Upadhyaya</x:v>
      </x:c>
      <x:c r="G52" s="14" t="str">
        <x:v>NA</x:v>
      </x:c>
      <x:c r="H52" s="14" t="str">
        <x:v>Review / SLR / mapping</x:v>
      </x:c>
      <x:c r="I52" s="14" t="str">
        <x:v>https://papers.ssrn.com/sol3/papers.cfm?abstract_id=5020038</x:v>
      </x:c>
      <x:c r="J52" s="14" t="str"/>
      <x:c r="K52" s="14" t="str">
        <x:v>Original URL only; not re-verified in this expansion pass</x:v>
      </x:c>
      <x:c r="L52" s="14" t="str">
        <x:v>previous old papers(3).xlsx</x:v>
      </x:c>
      <x:c r="M52" s="14" t="n">
        <x:v>32</x:v>
      </x:c>
      <x:c r="N52" s="14" t="n">
        <x:v>27</x:v>
      </x:c>
      <x:c r="O52" s="14" t="str"/>
      <x:c r="P52" s="14" t="str"/>
      <x:c r="Q52" s="14" t="n">
        <x:v>40</x:v>
      </x:c>
      <x:c r="R52" s="14" t="str">
        <x:v>Low-Code/No-Code (LCNC) Platforms, Rapid Application Development, Citizen
Developers, Software Development Lifecycle, Digital Transformation, Democratization of Software
Development, Shadow IT, Software Development Paradigm.
</x:v>
      </x:c>
      <x:c r="S52" s="14" t="str">
        <x:v>Low-Code/No-Code (LCNC) platforms have revolutionized software development by enabling both technical and non-technical users to create applications with minimal coding. This democratizes technology access and accelerates digital transformation. The paper reviews LCNC platforms, detailing their advantages (faster application delivery, innovation) and limitations (security, scalability, integration, shadow IT). It analyzes the impact on the software development lifecycle and traditional developer roles, highlighting the shift towards hybrid teams. The paper also identifies research directions to address knowledge gaps concerning the long-term implications of LCNC platforms. Finally, it emphasizes the need for a balanced approach to LCNC adoption to leverage benefits without compromising security or IT control.</x:v>
      </x:c>
    </x:row>
    <x:row r="53" ht="64" customHeight="1">
      <x:c r="A53" s="14" t="n">
        <x:v>52</x:v>
      </x:c>
      <x:c r="B53" s="14" t="str">
        <x:v>Original supplied record</x:v>
      </x:c>
      <x:c r="C53" s="14" t="str">
        <x:v>Screened out after title/abstract/quality screen</x:v>
      </x:c>
      <x:c r="D53" s="14" t="n">
        <x:v>2024</x:v>
      </x:c>
      <x:c r="E53" s="14" t="str">
        <x:v>Development of a Modularized Undergraduate Data Science and Big Data Curricular Using No-Code Software Development Tools</x:v>
      </x:c>
      <x:c r="F53" s="14" t="str">
        <x:v>HARRY D. MAFUKIDZE</x:v>
      </x:c>
      <x:c r="G53" s="14" t="str">
        <x:v>IEEE</x:v>
      </x:c>
      <x:c r="H53" s="14" t="str">
        <x:v>Adoption / citizen development</x:v>
      </x:c>
      <x:c r="I53" s="14" t="str">
        <x:v>Development of a Modularized Undergraduate Data Science and Big Data Curricular Using No-Code Software Development Tools | IEEE Journals &amp; Magazine | IEEE Xplore</x:v>
      </x:c>
      <x:c r="J53" s="14" t="str"/>
      <x:c r="K53" s="14" t="str">
        <x:v>Original URL only; not re-verified in this expansion pass</x:v>
      </x:c>
      <x:c r="L53" s="14" t="str">
        <x:v>previous old papers(3).xlsx</x:v>
      </x:c>
      <x:c r="M53" s="14" t="n">
        <x:v>33</x:v>
      </x:c>
      <x:c r="N53" s="14" t="n">
        <x:v>28</x:v>
      </x:c>
      <x:c r="O53" s="14" t="str"/>
      <x:c r="P53" s="14" t="str"/>
      <x:c r="Q53" s="14" t="n">
        <x:v>40</x:v>
      </x:c>
      <x:c r="R53" s="14" t="str">
        <x:v>Curriculum, data science, education, no-code tools, visual programming languages.</x:v>
      </x:c>
      <x:c r="S53" s="14" t="str">
        <x:v>Over the last decade, Data Science has emerged as one of the most important subjects that has had a major impact on industry. This is due to the continual development of scientific methods, algorithms, processes, and computational tools that help to extract knowledge from raw data efficiently and cost-effectively, compared with early-generation tools. Professional data scientists create code that processes, analyses and extracts actionable insights from high volumes of data. This process requires a deep understanding of mathematical principles, statistics, business knowledge, and computer science. But most importantly, the data science development chain requires knowledge of a high-level programming tool and its dependencies. This is a major problem in some aspects due to the steep learning curve. In this paper, we describe and present a modularized Data Science curriculum for undergraduate learners that relies on no-code software development tools as programming aids for non-computer science majors. No-code development tools have been added to the traditional teaching pedagogy to improve students’ motivation and conceptual understanding of coding despite their limited programming skills. The study aims to assess the impacts of visual programming languages on the performance of non-computer science majors on programming problems. The study’s sample consists of 50 fourth-year students from the Faculty of Science and Technology at the Midlands State University. A post-survey questionnaire and assessment items were administered to the control and experimental groups. Results show that the students drawn from the experimental group benefited from the use of a visual programming language. These results offer evidence-based recommendations for incorporating high-performance no-code software development tools in the formal curriculum to aid teaching and learning data science programming for students of diverse academic backgrounds.</x:v>
      </x:c>
    </x:row>
    <x:row r="54" ht="64" customHeight="1">
      <x:c r="A54" s="14" t="n">
        <x:v>53</x:v>
      </x:c>
      <x:c r="B54" s="14" t="str">
        <x:v>Original supplied record</x:v>
      </x:c>
      <x:c r="C54" s="14" t="str">
        <x:v>Screened out after title/abstract/quality screen</x:v>
      </x:c>
      <x:c r="D54" s="14" t="n">
        <x:v>2020</x:v>
      </x:c>
      <x:c r="E54" s="14" t="str">
        <x:v>The Rise of No/Low Code Software Development—No Experience Needed?</x:v>
      </x:c>
      <x:c r="F54" s="14" t="str">
        <x:v>Marcus Woo</x:v>
      </x:c>
      <x:c r="G54" s="14" t="str">
        <x:v>ELSEVIER</x:v>
      </x:c>
      <x:c r="H54" s="14" t="str">
        <x:v>General LCNC</x:v>
      </x:c>
      <x:c r="I54" s="14" t="str">
        <x:v>https://pmc.ncbi.nlm.nih.gov/articles/PMC7361109/</x:v>
      </x:c>
      <x:c r="J54" s="14" t="str"/>
      <x:c r="K54" s="14" t="str">
        <x:v>Original URL only; not re-verified in this expansion pass</x:v>
      </x:c>
      <x:c r="L54" s="14" t="str">
        <x:v>previous old papers(3).xlsx</x:v>
      </x:c>
      <x:c r="M54" s="14" t="n">
        <x:v>34</x:v>
      </x:c>
      <x:c r="N54" s="14" t="n">
        <x:v>29</x:v>
      </x:c>
      <x:c r="O54" s="14" t="str"/>
      <x:c r="P54" s="14" t="str"/>
      <x:c r="Q54" s="14" t="n">
        <x:v>40</x:v>
      </x:c>
      <x:c r="R54" s="14" t="str"/>
      <x:c r="S54" s="14" t="str"/>
    </x:row>
    <x:row r="55" ht="64" customHeight="1">
      <x:c r="A55" s="14" t="n">
        <x:v>54</x:v>
      </x:c>
      <x:c r="B55" s="14" t="str">
        <x:v>Original supplied record</x:v>
      </x:c>
      <x:c r="C55" s="14" t="str">
        <x:v>Screened out after title/abstract/quality screen</x:v>
      </x:c>
      <x:c r="D55" s="14" t="n">
        <x:v>2022</x:v>
      </x:c>
      <x:c r="E55" s="14" t="str">
        <x:v>What about the usability in low-code platforms? A systematic literature review</x:v>
      </x:c>
      <x:c r="F55" s="14" t="str">
        <x:v>Daniel Pinho</x:v>
      </x:c>
      <x:c r="G55" s="14" t="str">
        <x:v>ELSEVIER</x:v>
      </x:c>
      <x:c r="H55" s="14" t="str">
        <x:v>Review / SLR / mapping</x:v>
      </x:c>
      <x:c r="I55" s="14" t="str">
        <x:v>https://www.sciencedirect.com/science/article/pii/S259011842200082X</x:v>
      </x:c>
      <x:c r="J55" s="14" t="str"/>
      <x:c r="K55" s="14" t="str">
        <x:v>Original URL only; not re-verified in this expansion pass</x:v>
      </x:c>
      <x:c r="L55" s="14" t="str">
        <x:v>previous old papers(3).xlsx</x:v>
      </x:c>
      <x:c r="M55" s="14" t="n">
        <x:v>35</x:v>
      </x:c>
      <x:c r="N55" s="14" t="n">
        <x:v>30</x:v>
      </x:c>
      <x:c r="O55" s="14" t="str"/>
      <x:c r="P55" s="14" t="str"/>
      <x:c r="Q55" s="14" t="n">
        <x:v>40</x:v>
      </x:c>
      <x:c r="R55" s="14" t="str">
        <x:v>Low-code development, Usability, Model-driven engineering, User experience</x:v>
      </x:c>
      <x:c r="S55" s="14" t="str">
        <x:v>the abstract section discusses the importance of usability in low-code development, highlighting the lack of a formal definition for low-code despite common characteristics. The paper aims to explore the relationship between low-code and usability, identifying factors influencing user experience and the need for increased research on usability in the low-code field. The study conducted a systematic literature review, analyzing 38 relevant articles to provide insights into the current trends and perceptions of low-code tools. Key findings include the heightened awareness of usability in low-code tools, the importance of user experience, and the potential benefits for both end-user developers and skilled IT professionals.</x:v>
      </x:c>
    </x:row>
    <x:row r="56" ht="64" customHeight="1">
      <x:c r="A56" s="14" t="n">
        <x:v>55</x:v>
      </x:c>
      <x:c r="B56" s="14" t="str">
        <x:v>Original supplied record</x:v>
      </x:c>
      <x:c r="C56" s="14" t="str">
        <x:v>Screened out after title/abstract/quality screen</x:v>
      </x:c>
      <x:c r="D56" s="14" t="n">
        <x:v>2022</x:v>
      </x:c>
      <x:c r="E56" s="14" t="str">
        <x:v>Low-code platforms and languages: the future of software development</x:v>
      </x:c>
      <x:c r="F56" s="14" t="str">
        <x:v>
Gabriel Juhás, ?udovít Molnár, Ana Juhásová, Miriam Ondrišová, Milan Mladoniczky, Tomáš Ková?ik</x:v>
      </x:c>
      <x:c r="G56" s="14" t="str">
        <x:v>IEEE</x:v>
      </x:c>
      <x:c r="H56" s="14" t="str">
        <x:v>General LCNC</x:v>
      </x:c>
      <x:c r="I56" s="14" t="str">
        <x:v>https://ieeexplore.ieee.org/abstract/document/9974697</x:v>
      </x:c>
      <x:c r="J56" s="14" t="str"/>
      <x:c r="K56" s="14" t="str">
        <x:v>Original URL only; not re-verified in this expansion pass</x:v>
      </x:c>
      <x:c r="L56" s="14" t="str">
        <x:v>previous old papers(3).xlsx</x:v>
      </x:c>
      <x:c r="M56" s="14" t="n">
        <x:v>36</x:v>
      </x:c>
      <x:c r="N56" s="14" t="n">
        <x:v>31</x:v>
      </x:c>
      <x:c r="O56" s="14" t="str"/>
      <x:c r="P56" s="14" t="str"/>
      <x:c r="Q56" s="14" t="n">
        <x:v>40</x:v>
      </x:c>
      <x:c r="R56" s="14" t="str">
        <x:v>Low-code development
Visual programming
Model-driven development
Cloud computing
Digital transformation
Gartner
Forrester
PowerFx
Programming language
Software development</x:v>
      </x:c>
      <x:c r="S56" s="14" t="str">
        <x:v>Low-code platforms simplify application development, making it more accessible by using visual programming and model-driven development. They aim to address the IT human resource shortage and accelerate development, potentially leading to low-code platforms creating 70% of new applications by 2025. A key challenge is that low-code platforms often hide or generate inaccessible code. The solution involves defining a low-code programming language that stores the source code and is interpreted by the platform engine, as demonstrated by pioneers like Microsoft's PowerFx, Zoho's Deluge, and Netgrif's Petriflow. The paper explores the necessary paradigms for low-code programming languages and shares experiences in teaching low-code principles.</x:v>
      </x:c>
    </x:row>
    <x:row r="57" ht="64" customHeight="1">
      <x:c r="A57" s="14" t="n">
        <x:v>56</x:v>
      </x:c>
      <x:c r="B57" s="14" t="str">
        <x:v>Original supplied record</x:v>
      </x:c>
      <x:c r="C57" s="14" t="str">
        <x:v>Screened out after title/abstract/quality screen</x:v>
      </x:c>
      <x:c r="D57" s="14" t="n">
        <x:v>2021</x:v>
      </x:c>
      <x:c r="E57" s="14" t="str">
        <x:v>Factors that affect the utilization of low-code 
development platforms: survey study</x:v>
      </x:c>
      <x:c r="F57" s="14" t="str">
        <x:v>
Hana Alsaadi, Dhefaf T. RADAIN, Maysoon M. ALZAHRANI, Wahj F. ALSHAMMARI, Dimah Alahmadi, Bahjat Fakieh</x:v>
      </x:c>
      <x:c r="G57" s="14" t="str">
        <x:v>Romanian Journal of Information Technology and Automatic Control, Vol 31, No 3, 123-140, 2021.</x:v>
      </x:c>
      <x:c r="H57" s="14" t="str">
        <x:v>Adoption / citizen development</x:v>
      </x:c>
      <x:c r="I57" s="14" t="str">
        <x:v>https://pdfs.semanticscholar.org/4f18/561e75945c083924b014d6cfe297687f55f5.pdf</x:v>
      </x:c>
      <x:c r="J57" s="14" t="str"/>
      <x:c r="K57" s="14" t="str">
        <x:v>Original URL only; not re-verified in this expansion pass</x:v>
      </x:c>
      <x:c r="L57" s="14" t="str">
        <x:v>previous old papers(3).xlsx</x:v>
      </x:c>
      <x:c r="M57" s="14" t="n">
        <x:v>37</x:v>
      </x:c>
      <x:c r="N57" s="14" t="n">
        <x:v>32</x:v>
      </x:c>
      <x:c r="O57" s="14" t="str"/>
      <x:c r="P57" s="14" t="str"/>
      <x:c r="Q57" s="14" t="n">
        <x:v>40</x:v>
      </x:c>
      <x:c r="R57" s="14" t="str">
        <x:v>low-code
platforms
factor
artificial intelligence
Information Technology</x:v>
      </x:c>
      <x:c r="S57" s="14" t="str">
        <x:v>Low-code development platforms were introduced as a solution to the dilemma of the gap between the high demand for applications and the low number of developers available to meet this demand. The lowcode development platforms help the developers to build fast, efficient, and scalable applications with a minimal need for coding, which introduced the concept of citizen developers in the field of application development. This study explores the factors that attract the developers and programmers to utilize LCDP and discusses some of the problems and challenges that prevent other programmers and developers from using it. An online survey was conducted in Saudi Arabia among 49 respondents of professional developers from different departments of Information Technology in several kinds of businesses as well as students from the Computing and Information Technology faculties to understand the developers’ motivations to adopt low-code development platforms. A total of 19 respondents were using LCDP, while the other 30 were not. The paper also highlights the reasons why some developers are not interested in moving toward low-code and commit to the traditional programming approach.</x:v>
      </x:c>
    </x:row>
    <x:row r="58" ht="64" customHeight="1">
      <x:c r="A58" s="14" t="n">
        <x:v>57</x:v>
      </x:c>
      <x:c r="B58" s="14" t="str">
        <x:v>Original supplied record</x:v>
      </x:c>
      <x:c r="C58" s="14" t="str">
        <x:v>Screened out after title/abstract/quality screen</x:v>
      </x:c>
      <x:c r="D58" s="14" t="n">
        <x:v>2022</x:v>
      </x:c>
      <x:c r="E58" s="14" t="str">
        <x:v>An Investigation of Why Low Code Platforms Provide Answers and New Challenges</x:v>
      </x:c>
      <x:c r="F58" s="14" t="str">
        <x:v>
Edona Elshan University of St.Gallen, Switzerland edona.elshan@unisg.ch</x:v>
      </x:c>
      <x:c r="G58" s="14" t="str">
        <x:v>Proceedings of the 56th Hawaii International Conference on System Sciences </x:v>
      </x:c>
      <x:c r="H58" s="14" t="str">
        <x:v>Review / SLR / mapping</x:v>
      </x:c>
      <x:c r="I58" s="14" t="str">
        <x:v>https://scholarspace.manoa.hawaii.edu/items/227cc6b5-d9d1-4e76-9dec-1afcd484576b</x:v>
      </x:c>
      <x:c r="J58" s="14" t="str"/>
      <x:c r="K58" s="14" t="str">
        <x:v>Original URL only; not re-verified in this expansion pass</x:v>
      </x:c>
      <x:c r="L58" s="14" t="str">
        <x:v>previous old papers(3).xlsx</x:v>
      </x:c>
      <x:c r="M58" s="14" t="n">
        <x:v>38</x:v>
      </x:c>
      <x:c r="N58" s="14" t="n">
        <x:v>33</x:v>
      </x:c>
      <x:c r="O58" s="14" t="str"/>
      <x:c r="P58" s="14" t="str"/>
      <x:c r="Q58" s="14" t="n">
        <x:v>40</x:v>
      </x:c>
      <x:c r="R58" s="14" t="str">
        <x:v>low-code platform
user interface
challenges
small and medium-sized enterprises
council
digital transformation
low-code development platforms
graphical user interface</x:v>
      </x:c>
      <x:c r="S58" s="14" t="str">
        <x:v>Although the idea of low code development is not new, the market for these oftentimes platform-based development approaches is exponentially growing. Especially factors such as increasing affinity for technology development across all user groups, consumerization of development, and advancing digitalization are opening a new target group for the low code movement. The broad application possibilities of low code, as well as the benefits, are therefore getting more important for businesses. Especially for small and medium-sized enterprises (SMEs), low code constitutes a promising avenue to survive and succeed in the rapidly changing world. However, a clear understanding regarding the application of this paradigm of software development in SMEs is still missing. To provide a coherent understanding of the phenomenon low code in SMEs, we review extant literature and conduct interviews, identifying potential application domains and conceptualizing the benefits and challenges of low code from a holistic perspective.</x:v>
      </x:c>
    </x:row>
    <x:row r="59" ht="64" customHeight="1">
      <x:c r="A59" s="14" t="n">
        <x:v>58</x:v>
      </x:c>
      <x:c r="B59" s="14" t="str">
        <x:v>Original supplied record</x:v>
      </x:c>
      <x:c r="C59" s="14" t="str">
        <x:v>Screened out after title/abstract/quality screen</x:v>
      </x:c>
      <x:c r="D59" s="14" t="n">
        <x:v>2022</x:v>
      </x:c>
      <x:c r="E59" s="14" t="str">
        <x:v>Low-Code Development Platforms: A Descriptive Study</x:v>
      </x:c>
      <x:c r="F59" s="14" t="str">
        <x:v>
Pedro M. Gomes</x:v>
      </x:c>
      <x:c r="G59" s="14" t="str">
        <x:v>2022 17th Iberian Conference on Information Systems and Technologies (CISTI)</x:v>
      </x:c>
      <x:c r="H59" s="14" t="str">
        <x:v>General LCNC</x:v>
      </x:c>
      <x:c r="I59" s="14" t="str">
        <x:v>https://ieeexplore.ieee.org/abstract/document/9820354</x:v>
      </x:c>
      <x:c r="J59" s="14" t="str"/>
      <x:c r="K59" s="14" t="str">
        <x:v>Original URL only; not re-verified in this expansion pass</x:v>
      </x:c>
      <x:c r="L59" s="14" t="str">
        <x:v>previous old papers(3).xlsx</x:v>
      </x:c>
      <x:c r="M59" s="14" t="n">
        <x:v>39</x:v>
      </x:c>
      <x:c r="N59" s="14" t="n">
        <x:v>34</x:v>
      </x:c>
      <x:c r="O59" s="14" t="str"/>
      <x:c r="P59" s="14" t="str"/>
      <x:c r="Q59" s="14" t="n">
        <x:v>40</x:v>
      </x:c>
      <x:c r="R59" s="14" t="str">
        <x:v>low code
Model-Driven Engineering
scientific community
Descriptive Study
end user development
Internet of Things
digital transformatio</x:v>
      </x:c>
      <x:c r="S59" s="14" t="str">
        <x:v>Driven by the existing gap between developers’ vision and the domains requirement, there is a growing trend on the application of Low-Code Development platforms. To understand the state-of-the-art, key concepts, factors and variables that encompass the thematic of Low-Code Development platforms are studied and presented in this study. Keywords - Low-code Development Platform; Descriptive Study; State-of-the-Art.</x:v>
      </x:c>
    </x:row>
    <x:row r="60" ht="64" customHeight="1">
      <x:c r="A60" s="14" t="n">
        <x:v>59</x:v>
      </x:c>
      <x:c r="B60" s="14" t="str">
        <x:v>Original supplied record</x:v>
      </x:c>
      <x:c r="C60" s="14" t="str">
        <x:v>Screened out after title/abstract/quality screen</x:v>
      </x:c>
      <x:c r="D60" s="14" t="str"/>
      <x:c r="E60" s="14" t="str">
        <x:v>Development and Validation of a Descriptive Cognitive Model for Predicting Usability Issues in a Low-Code Development Platform</x:v>
      </x:c>
      <x:c r="F60" s="14" t="str"/>
      <x:c r="G60" s="14" t="str"/>
      <x:c r="H60" s="14" t="str">
        <x:v>General LCNC</x:v>
      </x:c>
      <x:c r="I60" s="14" t="str">
        <x:v>https://journals.sagepub.com/doi/full/10.1177/0018720820920429</x:v>
      </x:c>
      <x:c r="J60" s="14" t="str"/>
      <x:c r="K60" s="14" t="str">
        <x:v>Original URL only; not re-verified in this expansion pass</x:v>
      </x:c>
      <x:c r="L60" s="14" t="str">
        <x:v>previous old papers(3).xlsx</x:v>
      </x:c>
      <x:c r="M60" s="14" t="n">
        <x:v>40</x:v>
      </x:c>
      <x:c r="N60" s="14" t="n">
        <x:v>35</x:v>
      </x:c>
      <x:c r="O60" s="14" t="str"/>
      <x:c r="P60" s="14" t="str"/>
      <x:c r="Q60" s="14" t="n">
        <x:v>40</x:v>
      </x:c>
      <x:c r="R60" s="14" t="str"/>
      <x:c r="S60" s="14" t="str"/>
    </x:row>
    <x:row r="61" ht="64" customHeight="1">
      <x:c r="A61" s="14" t="n">
        <x:v>60</x:v>
      </x:c>
      <x:c r="B61" s="14" t="str">
        <x:v>Original supplied record</x:v>
      </x:c>
      <x:c r="C61" s="14" t="str">
        <x:v>Screened out after title/abstract/quality screen</x:v>
      </x:c>
      <x:c r="D61" s="14" t="n">
        <x:v>2023</x:v>
      </x:c>
      <x:c r="E61" s="14" t="str">
        <x:v>Practitioners’ Perceptions on the Adoption of Low Code Development Platforms</x:v>
      </x:c>
      <x:c r="F61" s="14" t="str">
        <x:v>
Sebastian Käss, Susanne Strahringer, Markus Westner</x:v>
      </x:c>
      <x:c r="G61" s="14" t="str">
        <x:v>NULL</x:v>
      </x:c>
      <x:c r="H61" s="14" t="str">
        <x:v>Review / SLR / mapping</x:v>
      </x:c>
      <x:c r="I61" s="14" t="str">
        <x:v>https://ieeexplore.ieee.org/abstract/document/10075454</x:v>
      </x:c>
      <x:c r="J61" s="14" t="str"/>
      <x:c r="K61" s="14" t="str">
        <x:v>Original URL only; not re-verified in this expansion pass</x:v>
      </x:c>
      <x:c r="L61" s="14" t="str">
        <x:v>previous old papers(3).xlsx</x:v>
      </x:c>
      <x:c r="M61" s="14" t="n">
        <x:v>41</x:v>
      </x:c>
      <x:c r="N61" s="14" t="n">
        <x:v>36</x:v>
      </x:c>
      <x:c r="O61" s="14" t="str"/>
      <x:c r="P61" s="14" t="str"/>
      <x:c r="Q61" s="14" t="n">
        <x:v>40</x:v>
      </x:c>
      <x:c r="R61" s="14" t="str">
        <x:v>Low-code development platform
Delphi method
Digital transformation
Software development
Application development
Cloud computing
IT management
Digital innovation
Model-driven engineering
Platform-as-a-service</x:v>
      </x:c>
      <x:c r="S61" s="14" t="str">
        <x:v>Organizations are under increasing pressure to develop applications within budget and time at high quality. Therefore, multiple organizations adopt Low Code Development Platforms (LCDP) to develop applications faster and cheaper compared to traditional application development. However, current research on LCDP adoption lacks empirical grounding as well as a deeper understanding of the importance of adoption drivers and inhibitors. We conducted semi-structured interviews and a Delphi study with seventeen experts to address these gaps. As a result, we identified twelve drivers and nineteen inhibitors for adopting LCDPs. We show that the experts have a consensus on the most and the least important drivers and inhibitors for LCDP adoption. Yet, the ranking of the drivers and inhibitors between the most and least important is highly context dependent. For some drivers and inhibitors, the experts' ranking is similar to academic literature, whereas, for others, it differs. In conclusion, the study at hand empirically validates drivers and inhibitors for LCDP adoption, adds six new drivers and six new inhibitors to the body of knowledge, and analyses the importance of these factors.</x:v>
      </x:c>
    </x:row>
    <x:row r="62" ht="64" customHeight="1">
      <x:c r="A62" s="14" t="n">
        <x:v>61</x:v>
      </x:c>
      <x:c r="B62" s="14" t="str">
        <x:v>Original supplied record</x:v>
      </x:c>
      <x:c r="C62" s="14" t="str">
        <x:v>Screened out after title/abstract/quality screen</x:v>
      </x:c>
      <x:c r="D62" s="14" t="n">
        <x:v>2022</x:v>
      </x:c>
      <x:c r="E62" s="14" t="str">
        <x:v>DevOps Practitioners’ Perceptions of the Low-code Trend</x:v>
      </x:c>
      <x:c r="F62" s="14" t="str">
        <x:v>
Saima Rafi, Muhammad Azeem Akbar, Mary Sánchez?Gordón, Ricardo Colomo?Palacios</x:v>
      </x:c>
      <x:c r="G62" s="14" t="str">
        <x:v>ACM / IEEE International Symposium on Empirical Software Engineering and Measurement (ESEM) (ESEM ’22).</x:v>
      </x:c>
      <x:c r="H62" s="14" t="str">
        <x:v>Adoption / citizen development</x:v>
      </x:c>
      <x:c r="I62" s="14" t="str">
        <x:v>https://dl.acm.org/doi/abs/10.1145/3544902.3546635</x:v>
      </x:c>
      <x:c r="J62" s="14" t="str"/>
      <x:c r="K62" s="14" t="str">
        <x:v>Original URL only; not re-verified in this expansion pass</x:v>
      </x:c>
      <x:c r="L62" s="14" t="str">
        <x:v>previous old papers(3).xlsx</x:v>
      </x:c>
      <x:c r="M62" s="14" t="n">
        <x:v>42</x:v>
      </x:c>
      <x:c r="N62" s="14" t="n">
        <x:v>37</x:v>
      </x:c>
      <x:c r="O62" s="14" t="str"/>
      <x:c r="P62" s="14" t="str"/>
      <x:c r="Q62" s="14" t="n">
        <x:v>40</x:v>
      </x:c>
      <x:c r="R62" s="14" t="str">
        <x:v>Low-code
DevOps
System analyst
Project manager
IT manager
software development
grounded theory</x:v>
      </x:c>
      <x:c r="S62" s="14" t="str">
        <x:v>Background: DevOps is currently one of the main trends in software development. Low-Code is also an emerging tendency that, combined with DevOps, may offer significant value to software businesses by improving the process. However, how DevOps practices and low-code are combined is little known. Aim: This study aims to understand the practitioner's perspectives on low-code trends. Method: Twelve interviews with IT professionals who deal with low-code in the context of DevOps were conducted. Then, a grounded theory approach was used to theme the interview quotes into emergent categories. Results: The main result of this exploratory study reveals that such an approach is the most common response to the skill shortages of software professionals. Conclusion: This study suggests the emergence of DevOps and low-code could significantly contribute to the development of quality products with low-cost and time.</x:v>
      </x:c>
    </x:row>
    <x:row r="63" ht="64" customHeight="1">
      <x:c r="A63" s="14" t="n">
        <x:v>62</x:v>
      </x:c>
      <x:c r="B63" s="14" t="str">
        <x:v>Original supplied record</x:v>
      </x:c>
      <x:c r="C63" s="14" t="str">
        <x:v>Screened out after title/abstract/quality screen</x:v>
      </x:c>
      <x:c r="D63" s="14" t="n">
        <x:v>2022</x:v>
      </x:c>
      <x:c r="E63" s="14" t="str">
        <x:v>Accessibility in Software Practice: A Practitioner’s Perspective</x:v>
      </x:c>
      <x:c r="F63" s="14" t="str">
        <x:v>
Tingting Bi, Xin Xia, David Lo, John G. Grundy, Thomas Zimmermann, Denae Ford</x:v>
      </x:c>
      <x:c r="G63" s="14" t="str">
        <x:v>Association for Computing Machinery</x:v>
      </x:c>
      <x:c r="H63" s="14" t="str">
        <x:v>Review / SLR / mapping</x:v>
      </x:c>
      <x:c r="I63" s="14" t="str">
        <x:v>https://dl.acm.org/doi/full/10.1145/3503508</x:v>
      </x:c>
      <x:c r="J63" s="14" t="str"/>
      <x:c r="K63" s="14" t="str">
        <x:v>Original URL only; not re-verified in this expansion pass</x:v>
      </x:c>
      <x:c r="L63" s="14" t="str">
        <x:v>previous old papers(3).xlsx</x:v>
      </x:c>
      <x:c r="M63" s="14" t="n">
        <x:v>43</x:v>
      </x:c>
      <x:c r="N63" s="14" t="n">
        <x:v>38</x:v>
      </x:c>
      <x:c r="O63" s="14" t="str"/>
      <x:c r="P63" s="14" t="str"/>
      <x:c r="Q63" s="14" t="n">
        <x:v>40</x:v>
      </x:c>
      <x:c r="R63" s="14" t="str">
        <x:v>practitioner
software development
Software Engineering
challenges
software project
development life cycle</x:v>
      </x:c>
      <x:c r="S63" s="14" t="str">
        <x:v>Being able to access software in daily life is vital for everyone, and thus accessibility is a fundamental challenge for software development. However, given the number of accessibility issues reported by many users, e.g., in app reviews, it is not clear if accessibility is widely integrated into current software projects and how software projects address accessibility issues. In this article, we report a study of the critical challenges and benefits of incorporating accessibility into software development and design. We applied a mixed qualitative and quantitative approach for gathering data from 15 interviews and 365 survey respondents from 26 countries across five continents to understand how practitioners perceive accessibility development and design in practice. We got 44 statements grouped into eight topics on accessibility from practitioners’ viewpoints and different software development stages. Our statistical analysis reveals substantial gaps between groups, e.g., practitioners have Direct vs. Indirect accessibility relevant work experience when they reviewed the summarized statements. These gaps might hinder the quality of accessibility development and design, and we use our findings to establish a set of guidelines to help practitioners be aware of accessibility challenges and benefit factors. We suggest development teams put accessibility as a first-class consideration throughout the software development process, and we also propose some remedies to resolve the gaps between groups and to highlight key future research directions to incorporate accessibility into software design and development.</x:v>
      </x:c>
    </x:row>
    <x:row r="64" ht="64" customHeight="1">
      <x:c r="A64" s="14" t="n">
        <x:v>63</x:v>
      </x:c>
      <x:c r="B64" s="14" t="str">
        <x:v>Original supplied record</x:v>
      </x:c>
      <x:c r="C64" s="14" t="str">
        <x:v>Final Top 50</x:v>
      </x:c>
      <x:c r="D64" s="14" t="n">
        <x:v>2023</x:v>
      </x:c>
      <x:c r="E64" s="14" t="str">
        <x:v>What's Wrong With Low-Code Development Platforms? An Empirical Study of Low-Code Development Platform Bugs</x:v>
      </x:c>
      <x:c r="F64" s="14" t="str">
        <x:v>
Dong Liu, He Jiang, Shikai Guo, Yuting Chen, Qiao Lei</x:v>
      </x:c>
      <x:c r="G64" s="14" t="str">
        <x:v>
IEEE Transactions on Reliability</x:v>
      </x:c>
      <x:c r="H64" s="14" t="str">
        <x:v>Bugs / reliability</x:v>
      </x:c>
      <x:c r="I64" s="14" t="str">
        <x:v>https://ieeexplore.ieee.org/document/10203030</x:v>
      </x:c>
      <x:c r="J64" s="14" t="str"/>
      <x:c r="K64" s="14" t="str">
        <x:v>Full article page verified; PDF may require IEEE access</x:v>
      </x:c>
      <x:c r="L64" s="14" t="str">
        <x:v>previous old papers(3).xlsx</x:v>
      </x:c>
      <x:c r="M64" s="14" t="n">
        <x:v>44</x:v>
      </x:c>
      <x:c r="N64" s="14" t="n">
        <x:v>39</x:v>
      </x:c>
      <x:c r="O64" s="14" t="str"/>
      <x:c r="P64" s="14" t="str">
        <x:v>Empirical bug study from IEEE Transactions on Reliability; key quality/reliability evidence.</x:v>
      </x:c>
      <x:c r="Q64" s="14" t="n">
        <x:v>74</x:v>
      </x:c>
      <x:c r="R64" s="14" t="str">
        <x:v>Low-code development platform
Software development
Model-driven engineering
Visual language
User interface
Bug tracking
Empirical research
Software testing
Computer bug
Software bug</x:v>
      </x:c>
      <x:c r="S64" s="14" t="str">
        <x:v>Low-code development platforms (LCDPs) are increasingly being introduced and leveraged by major IT enterprises to lower the threshold and promote the efficiency of software development. Like other software systems, LCDPs are also inevitable to have bugs. The bugs in LCDPs may cause unpredictable consequences as they pose risks to all the downstream software products. However, to the best of our knowledge, there exist no studies that ever consider the bugs caused by LCDPs. To handle the LCDP bugs better, in this article, we conduct an empirical study of the characteristics of LCDP bugs by examining 974 confirmed bugs of four dominant LCDPs (i.e., OutSystems, Mendix, Appsmith, and Budibase) from both commercial and open-source domains. These bugs are analyzed from three perspectives, including bug root causes, bug symptoms, and the affected stages of LCDPs. Based on the analysis, we obtain a series of valuable findings. For example, around 60% of the bugs reside in the stage of designing and specifying the developed applications. Over 37% of the bugs lead LCDPs to behave unexpectedly but without showing explicit signs. Moreover, the bugs relevant to the incorrect graphics of user interfaces are significant due to the characteristics of LCDPs. These findings point out the guidelines, challenges, and future directions to address LCDP bugs.</x:v>
      </x:c>
    </x:row>
    <x:row r="65" ht="64" customHeight="1">
      <x:c r="A65" s="14" t="n">
        <x:v>64</x:v>
      </x:c>
      <x:c r="B65" s="14" t="str">
        <x:v>Original supplied record</x:v>
      </x:c>
      <x:c r="C65" s="14" t="str">
        <x:v>Screened out after title/abstract/quality screen</x:v>
      </x:c>
      <x:c r="D65" s="14" t="n">
        <x:v>2025</x:v>
      </x:c>
      <x:c r="E65" s="14" t="str">
        <x:v>BALTICLSC: LOW-CODE SOFTWARE DEVELOPMENTPLATFORM FOR LARGE SCALE COMPUTATIONS</x:v>
      </x:c>
      <x:c r="F65" s="14" t="str">
        <x:v>
PLATFORM FOR LARGE SCALE COMPUTATIONS</x:v>
      </x:c>
      <x:c r="G65" s="14" t="str">
        <x:v>
Computing and Informatics</x:v>
      </x:c>
      <x:c r="H65" s="14" t="str">
        <x:v>General LCNC</x:v>
      </x:c>
      <x:c r="I65" s="14" t="str">
        <x:v>https://www.cai.sk/ojs/index.php/cai/article/view/2021_4_734/1102</x:v>
      </x:c>
      <x:c r="J65" s="14" t="str"/>
      <x:c r="K65" s="14" t="str">
        <x:v>Original URL only; not re-verified in this expansion pass</x:v>
      </x:c>
      <x:c r="L65" s="14" t="str">
        <x:v>previous old papers(3).xlsx</x:v>
      </x:c>
      <x:c r="M65" s="14" t="n">
        <x:v>45</x:v>
      </x:c>
      <x:c r="N65" s="14" t="n">
        <x:v>40</x:v>
      </x:c>
      <x:c r="O65" s="14" t="str"/>
      <x:c r="P65" s="14" t="str"/>
      <x:c r="Q65" s="14" t="n">
        <x:v>40</x:v>
      </x:c>
      <x:c r="R65" s="14" t="str">
        <x:v>software development
High-Performance Computing</x:v>
      </x:c>
      <x:c r="S65" s="14" t="str">
        <x:v>In modern times, innovation often requires performing complex computations in a short amount of time. However, for many small organisations and freelance innovators, large-scale computations remain beyond reach because of the small accessibility of computation resources and the lack of knowledge required to use them efficiently. The BalticLSC Platform is a software development and computing environment created to address this issue. This paper presents the associated software development process. The platform users can perform advanced computations using ready applications or develop new applications quickly from available components. This can be done using a visual notation called the Computation Application Language (CAL). CAL programs are developed in a dedicated online editor, through selecting and connecting reusable computation modules. If a required module is missing, it can be quickly created by encapsulating code inside a standardised container. The platform’s ultimate goal is to relieve the developers from the need to understand the complexity of the distributed parallel computation environment. The platform was implemented in the form of an online software development portal. Validation of the platform consisted in the development of applications and modules by students not experienced in programming. The results of this validation acknowledge the required platform’s characteristics.</x:v>
      </x:c>
    </x:row>
    <x:row r="66" ht="64" customHeight="1">
      <x:c r="A66" s="14" t="n">
        <x:v>65</x:v>
      </x:c>
      <x:c r="B66" s="14" t="str">
        <x:v>Original supplied record</x:v>
      </x:c>
      <x:c r="C66" s="14" t="str">
        <x:v>Screened out after title/abstract/quality screen</x:v>
      </x:c>
      <x:c r="D66" s="14" t="str"/>
      <x:c r="E66" s="14" t="str">
        <x:v>OLP—A RESTful Open Low-Code Platform</x:v>
      </x:c>
      <x:c r="F66" s="14" t="str"/>
      <x:c r="G66" s="14" t="str"/>
      <x:c r="H66" s="14" t="str">
        <x:v>General LCNC</x:v>
      </x:c>
      <x:c r="I66" s="14" t="str">
        <x:v>https://www.mdpi.com/1999-5903/13/10/249</x:v>
      </x:c>
      <x:c r="J66" s="14" t="str"/>
      <x:c r="K66" s="14" t="str">
        <x:v>Original URL only; not re-verified in this expansion pass</x:v>
      </x:c>
      <x:c r="L66" s="14" t="str">
        <x:v>previous old papers(3).xlsx</x:v>
      </x:c>
      <x:c r="M66" s="14" t="n">
        <x:v>46</x:v>
      </x:c>
      <x:c r="N66" s="14" t="n">
        <x:v>41</x:v>
      </x:c>
      <x:c r="O66" s="14" t="str"/>
      <x:c r="P66" s="14" t="str"/>
      <x:c r="Q66" s="14" t="n">
        <x:v>40</x:v>
      </x:c>
      <x:c r="R66" s="14" t="str"/>
      <x:c r="S66" s="14" t="str"/>
    </x:row>
    <x:row r="67" ht="64" customHeight="1">
      <x:c r="A67" s="14" t="n">
        <x:v>66</x:v>
      </x:c>
      <x:c r="B67" s="14" t="str">
        <x:v>Original supplied record</x:v>
      </x:c>
      <x:c r="C67" s="14" t="str">
        <x:v>Screened out after title/abstract/quality screen</x:v>
      </x:c>
      <x:c r="D67" s="14" t="n">
        <x:v>2025</x:v>
      </x:c>
      <x:c r="E67" s="14" t="str">
        <x:v>How Can No/Low Code Platforms Help End-Users Develop ML Applications? - A Systematic Review</x:v>
      </x:c>
      <x:c r="F67" s="14" t="str"/>
      <x:c r="G67" s="14" t="str">
        <x:v>
Springer Nature Switzerland AG</x:v>
      </x:c>
      <x:c r="H67" s="14" t="str">
        <x:v>Review / SLR / mapping</x:v>
      </x:c>
      <x:c r="I67" s="14" t="str">
        <x:v>https://link.springer.com/chapter/10.1007/978-3-031-21707-4_25</x:v>
      </x:c>
      <x:c r="J67" s="14" t="str"/>
      <x:c r="K67" s="14" t="str">
        <x:v>Original URL only; not re-verified in this expansion pass</x:v>
      </x:c>
      <x:c r="L67" s="14" t="str">
        <x:v>previous old papers(3).xlsx</x:v>
      </x:c>
      <x:c r="M67" s="14" t="n">
        <x:v>47</x:v>
      </x:c>
      <x:c r="N67" s="14" t="n">
        <x:v>42</x:v>
      </x:c>
      <x:c r="O67" s="14" t="str"/>
      <x:c r="P67" s="14" t="str"/>
      <x:c r="Q67" s="14" t="n">
        <x:v>40</x:v>
      </x:c>
      <x:c r="R67" s="14" t="str">
        <x:v>Machine learning
artificial intelligence
low code
End-user development
end user
Integrated Development Environment
systematic literature review</x:v>
      </x:c>
      <x:c r="S67" s="14" t="str">
        <x:v>With the increasing popularity of machine learning, the demand for users to develop machine learning applications has grown rapidly, which brings about a rising growth for end-user development (EUD) method research. Based on previous works, EUD can be roughly divided into two categories: methods with coding and without coding (i.e. no-code). In recent years, no-code and lowcode methods have become the mainstream EUD methods that have been widely concerned by the education and business community, due to their low technical barriers. However, there lacks a comprehensive summary of existing research to answer some fundamental questions, such as: How can no/low-code platform help end-users develop ML applications? what are their effects, design methods, and user experience? This paper answers the above questions through a systematic literature review. Two experienced researchers carefully read, coded, analyzed, and checked the literature by using MAXQDA, the results showed:</x:v>
      </x:c>
    </x:row>
    <x:row r="68" ht="64" customHeight="1">
      <x:c r="A68" s="14" t="n">
        <x:v>67</x:v>
      </x:c>
      <x:c r="B68" s="14" t="str">
        <x:v>Original supplied record</x:v>
      </x:c>
      <x:c r="C68" s="14" t="str">
        <x:v>Screened out after title/abstract/quality screen</x:v>
      </x:c>
      <x:c r="D68" s="14" t="n">
        <x:v>2021</x:v>
      </x:c>
      <x:c r="E68" s="14" t="str">
        <x:v>In Search of the Essence of Low-Code: An Exploratory Study of Seven Development Platforms</x:v>
      </x:c>
      <x:c r="F68" s="14" t="str">
        <x:v>
Alexander Böck, Ulrich Frank</x:v>
      </x:c>
      <x:c r="G68" s="14" t="str">
        <x:v>
2021 ACM/IEEE International Conference on Model Driven Engineering Languages and Systems Companion (MODELS-C)</x:v>
      </x:c>
      <x:c r="H68" s="14" t="str">
        <x:v>General LCNC</x:v>
      </x:c>
      <x:c r="I68" s="14" t="str">
        <x:v>https://ieeexplore.ieee.org/abstract/document/9643620</x:v>
      </x:c>
      <x:c r="J68" s="14" t="str"/>
      <x:c r="K68" s="14" t="str">
        <x:v>Original URL only; not re-verified in this expansion pass</x:v>
      </x:c>
      <x:c r="L68" s="14" t="str">
        <x:v>previous old papers(3).xlsx</x:v>
      </x:c>
      <x:c r="M68" s="14" t="n">
        <x:v>48</x:v>
      </x:c>
      <x:c r="N68" s="14" t="n">
        <x:v>43</x:v>
      </x:c>
      <x:c r="O68" s="14" t="str"/>
      <x:c r="P68" s="14" t="str"/>
      <x:c r="Q68" s="14" t="n">
        <x:v>40</x:v>
      </x:c>
      <x:c r="R68" s="14" t="str">
        <x:v>graphical user interface
information technologies
Reuse
artificial intelligence
Integration
Abstraction</x:v>
      </x:c>
      <x:c r="S68" s="14" t="str">
        <x:v>Rapidly growing attention has been directed in recent years toward a type of software development and execution environment now passing under the name of 'low-code development platforms.' The fundamental claim is that limiting traditional coding mechanisms in favor of a variety of alternative means of design and specification yields substantial efficiency gains in professional and private software development. But although much stir at present surrounds low-code development platforms, it is by no means clear what, if any, features are distinctive of these systems, and whether any of these features mark out a technology which can be considered original. This paper presents an exploratory study of seven low-code development platforms, with the aim of discovering their essence and assessing them critically in the light of research in information systems development. An analysis framework covering a number of criteria regarding professional information systems development is used to characterize the selected platforms, and to point out features commonly, occasionally, and rarely possessed by them. The study reveals that hardly any features of low-code development are innovative in and of themselves, with novelty primarily consisting in their combination and integration. Still, we argue in conclusion, a number of research opportunities can be made out with an eye on the leitmotif of low-code development.</x:v>
      </x:c>
    </x:row>
    <x:row r="69" ht="64" customHeight="1">
      <x:c r="A69" s="14" t="n">
        <x:v>68</x:v>
      </x:c>
      <x:c r="B69" s="14" t="str">
        <x:v>Original supplied record</x:v>
      </x:c>
      <x:c r="C69" s="14" t="str">
        <x:v>Screened out after title/abstract/quality screen</x:v>
      </x:c>
      <x:c r="D69" s="14" t="n">
        <x:v>2023</x:v>
      </x:c>
      <x:c r="E69" s="14" t="str">
        <x:v>COMPARATIVEANALYSISOFAPIINTEGRATION
 USINGCODEVSNO-CODE/LOW-CODE
 PLATFORMS</x:v>
      </x:c>
      <x:c r="F69" s="14" t="str">
        <x:v>
Navya Yadav</x:v>
      </x:c>
      <x:c r="G69" s="14" t="str"/>
      <x:c r="H69" s="14" t="str">
        <x:v>General LCNC</x:v>
      </x:c>
      <x:c r="I69" s="14" t="str">
        <x:v>http://www.ir.juit.ac.in:8080/jspui/bitstream/123456789/9849/1/Comparative%20Analysis%20of%20API%20Integration%20using%20Code%20Vs%20No-code%2c%20low-code%20Platforms.pdf</x:v>
      </x:c>
      <x:c r="J69" s="14" t="str"/>
      <x:c r="K69" s="14" t="str">
        <x:v>Original URL only; not re-verified in this expansion pass</x:v>
      </x:c>
      <x:c r="L69" s="14" t="str">
        <x:v>previous old papers(3).xlsx</x:v>
      </x:c>
      <x:c r="M69" s="14" t="n">
        <x:v>49</x:v>
      </x:c>
      <x:c r="N69" s="14" t="n">
        <x:v>44</x:v>
      </x:c>
      <x:c r="O69" s="14" t="str"/>
      <x:c r="P69" s="14" t="str"/>
      <x:c r="Q69" s="14" t="n">
        <x:v>40</x:v>
      </x:c>
      <x:c r="R69" s="14" t="str">
        <x:v>CODE
low code
Document Object Model
Cascading Style Sheets
machine learning</x:v>
      </x:c>
      <x:c r="S69" s="14" t="str">
        <x:v>This comparison investigates the distinctions between traditional coding methodologies and no-code/low-code platforms for API integration. The study looks at the advantages and disadvantages of each technique, such as development speed, simplicity of use, scalability, and adaptability. The findings indicate that no-code/low-code platforms provide considerable benefits in terms of speedier development timelines and ease of use, particularly for non-technical users. Traditional coding methods, on the other hand, are more adaptable and can manage more complex integrations. Finally, whether to use code or no-code/low-code platforms will be determined by the project's specific demands and the development team's skill set. APIs (Application Programming Interfaces) are essential in modern software development. APIs enable separate programmes to connect with one another, allowing developers to build complex systems with a wide range of functionality. APIs have traditionally been connected into applications through coding approaches, which require developers to write bespoke code to connect the various platforms. The rise of no-code/low-code platforms, on the other hand, has created an alternate approach to API integration, allowing non-technical users to link disparate systems without writing any code.
This comparison investigates the distinctions between traditional coding methodologies and no-code/low-code platforms for API integration. The study looks at the advantages and disadvantages of each technique, such as development speed, simplicity of use, scalability, and adaptability.</x:v>
      </x:c>
    </x:row>
    <x:row r="70" ht="64" customHeight="1">
      <x:c r="A70" s="14" t="n">
        <x:v>69</x:v>
      </x:c>
      <x:c r="B70" s="14" t="str">
        <x:v>Original supplied record</x:v>
      </x:c>
      <x:c r="C70" s="14" t="str">
        <x:v>Screened out after title/abstract/quality screen</x:v>
      </x:c>
      <x:c r="D70" s="14" t="n">
        <x:v>2021</x:v>
      </x:c>
      <x:c r="E70" s="14" t="str">
        <x:v>Analysis of Low Code-No Code Development 
Platforms in comparison with Traditional 
Development Methodologies</x:v>
      </x:c>
      <x:c r="F70" s="14" t="str">
        <x:v>Shreyas Shridhar</x:v>
      </x:c>
      <x:c r="G70" s="14" t="str"/>
      <x:c r="H70" s="14" t="str">
        <x:v>Adoption / citizen development</x:v>
      </x:c>
      <x:c r="I70" s="14" t="str">
        <x:v>https://d1wqtxts1xzle7.cloudfront.net/78542364/Analysis_of_Low_Code_No_Code_Development_Platforms_in_comparison_with_Traditional-libre.pdf?1641988528=&amp;response-content-disposition=inline%3B+filename%3DAnalysis_of_Low_Code_No_Code_Development.pdf&amp;Expires=1739187264&amp;Signature=WnyMZeA~2VwY7~OgoRfonRzRMALVRkESqqA-xzFRhd1CiiI8J1ee70jEOIPEqJ5GM4-WgytSIny-fXuJbk13FZLrjq70bj4YEpPibXMJKe6DuZnWJBJxSQAqQst0OHNsQmWm~sMcgwnE22C~xL4dR-N3yxgHJXfoYsNRznmHb0ic0SbAg-Vpbhv2qNqoWQzcEHH0GmD0hIrWAGvIY~yaEmfcTQr~0f4r4aYX3UHQSi~npgS5o1xUsu1K5LGP-Yf6MfNXLf1bv1crLB81u7L6tY72yO1-rOXnDDNQQRVH-XxoOICpL5ETPMIOhbFGm25rAq7O71NE5yAY16F7AXDcnA__&amp;Key-Pair-Id=APKAJLOHF5GGSLRBV4ZA</x:v>
      </x:c>
      <x:c r="J70" s="14" t="str"/>
      <x:c r="K70" s="14" t="str">
        <x:v>Original URL only; not re-verified in this expansion pass</x:v>
      </x:c>
      <x:c r="L70" s="14" t="str">
        <x:v>previous old papers(3).xlsx</x:v>
      </x:c>
      <x:c r="M70" s="14" t="n">
        <x:v>50</x:v>
      </x:c>
      <x:c r="N70" s="14" t="n">
        <x:v>45</x:v>
      </x:c>
      <x:c r="O70" s="14" t="str"/>
      <x:c r="P70" s="14" t="str"/>
      <x:c r="Q70" s="14" t="n">
        <x:v>40</x:v>
      </x:c>
      <x:c r="R70" s="14" t="str">
        <x:v>low code
technology stack
business requirement
Software development life cycle</x:v>
      </x:c>
      <x:c r="S70" s="14" t="str">
        <x:v>This paper examines the overview of low-code/no-code development platforms in comparison with traditional development methodologies and examines the benefits and limitations of the same. For several decades, businesses have had multiple options when they demanded new information systems. They could develop a new system using in-house developers, or they could order a system from an external merchant. This offers a close fit to business obligations. However, nowadays, there is a new alternative that is becoming increasingly prevalent. Low code/no code (LC/NC) applications can cater to business requirements efficiently, can be implemented instantly, and the cost is much less than systems developed in-house. Few, if any, programming skills are required. Keywords: Traditional development, No code development, low code development, Low code No code development, Software development life cycle (SDLC)</x:v>
      </x:c>
    </x:row>
    <x:row r="71" ht="64" customHeight="1">
      <x:c r="A71" s="14" t="n">
        <x:v>70</x:v>
      </x:c>
      <x:c r="B71" s="14" t="str">
        <x:v>Original supplied record</x:v>
      </x:c>
      <x:c r="C71" s="14" t="str">
        <x:v>Screened out after title/abstract/quality screen</x:v>
      </x:c>
      <x:c r="D71" s="14" t="n">
        <x:v>2023</x:v>
      </x:c>
      <x:c r="E71" s="14" t="str">
        <x:v>Designing for Programming Without Coding: User Experience of Mobile Low-code Software</x:v>
      </x:c>
      <x:c r="F71" s="14" t="str">
        <x:v>
Anna Korczak</x:v>
      </x:c>
      <x:c r="G71" s="14" t="str"/>
      <x:c r="H71" s="14" t="str">
        <x:v>Review / SLR / mapping</x:v>
      </x:c>
      <x:c r="I71" s="14" t="str">
        <x:v>Designing for Programming Without Coding : User Experience of Mobile Low-code Software</x:v>
      </x:c>
      <x:c r="J71" s="14" t="str"/>
      <x:c r="K71" s="14" t="str">
        <x:v>Original URL only; not re-verified in this expansion pass</x:v>
      </x:c>
      <x:c r="L71" s="14" t="str">
        <x:v>previous old papers(3).xlsx</x:v>
      </x:c>
      <x:c r="M71" s="14" t="n">
        <x:v>51</x:v>
      </x:c>
      <x:c r="N71" s="14" t="n">
        <x:v>46</x:v>
      </x:c>
      <x:c r="O71" s="14" t="str"/>
      <x:c r="P71" s="14" t="str"/>
      <x:c r="Q71" s="14" t="n">
        <x:v>40</x:v>
      </x:c>
      <x:c r="R71" s="14" t="str">
        <x:v>LCDP
Internet of Things
user interfaces
user experience
graphical user interface
end-user development
Developer Experience</x:v>
      </x:c>
      <x:c r="S71" s="14" t="str">
        <x:v>In our progressively digitized world, the escalating demand for software solutions intensifies the need for proficient developers. Low-Code Development Platforms (LCDPs) present a promising approach to address this necessity, empowering individuals without traditional programming skills to create software applications. However, despite their potential, these platforms are often not accessible or intuitive for non-professional developers. This research examines the design of LCDPs, with an emphasis on enhancing the user experience for non-programmers. By investigating the usability of LCDPs and designing a prototype based on the findings, my aim is to contribute to the ongoing discussion about the democratization of software development and to propose enhancements that could make LCDPs more user-friendly, inclusive, and usable across devices. The research involves a combination of literature review, interviews, prototype development, and user testing, providing a multifaceted perspective on the topic. Moreover, it discusses potential implications for the design of LCDPs, as well as for the broader field of interaction design.</x:v>
      </x:c>
    </x:row>
    <x:row r="72" ht="64" customHeight="1">
      <x:c r="A72" s="14" t="n">
        <x:v>71</x:v>
      </x:c>
      <x:c r="B72" s="14" t="str">
        <x:v>Original supplied record</x:v>
      </x:c>
      <x:c r="C72" s="14" t="str">
        <x:v>Screened out after title/abstract/quality screen</x:v>
      </x:c>
      <x:c r="D72" s="14" t="str"/>
      <x:c r="E72" s="14" t="str">
        <x:v>Safety Risks and Security Threats in Low-code Software Development</x:v>
      </x:c>
      <x:c r="F72" s="14" t="str"/>
      <x:c r="G72" s="14" t="str"/>
      <x:c r="H72" s="14" t="str">
        <x:v>Security / governance / risk</x:v>
      </x:c>
      <x:c r="I72" s="14" t="str">
        <x:v>http://essay.utwente.nl/101101/</x:v>
      </x:c>
      <x:c r="J72" s="14" t="str"/>
      <x:c r="K72" s="14" t="str">
        <x:v>Original URL only; not re-verified in this expansion pass</x:v>
      </x:c>
      <x:c r="L72" s="14" t="str">
        <x:v>previous old papers(3).xlsx</x:v>
      </x:c>
      <x:c r="M72" s="14" t="n">
        <x:v>52</x:v>
      </x:c>
      <x:c r="N72" s="14" t="n">
        <x:v>47</x:v>
      </x:c>
      <x:c r="O72" s="14" t="str"/>
      <x:c r="P72" s="14" t="str"/>
      <x:c r="Q72" s="14" t="n">
        <x:v>40</x:v>
      </x:c>
      <x:c r="R72" s="14" t="str"/>
      <x:c r="S72" s="14" t="str"/>
    </x:row>
    <x:row r="73" ht="64" customHeight="1">
      <x:c r="A73" s="14" t="n">
        <x:v>72</x:v>
      </x:c>
      <x:c r="B73" s="14" t="str">
        <x:v>Original supplied record</x:v>
      </x:c>
      <x:c r="C73" s="14" t="str">
        <x:v>Final Top 50</x:v>
      </x:c>
      <x:c r="D73" s="14" t="n">
        <x:v>2024</x:v>
      </x:c>
      <x:c r="E73" s="14" t="str">
        <x:v>Potentials and Risks of the Low-Code Development:        
A Systematic Literature Review</x:v>
      </x:c>
      <x:c r="F73" s="14" t="str">
        <x:v>
Bastian Roling Reutlingen University
Anna Korczak</x:v>
      </x:c>
      <x:c r="G73" s="14" t="str"/>
      <x:c r="H73" s="14" t="str">
        <x:v>Risks / SLR</x:v>
      </x:c>
      <x:c r="I73" s="14" t="str">
        <x:v>https://link.springer.com/chapter/10.1007/978-3-658-48215-2_8</x:v>
      </x:c>
      <x:c r="J73" s="14" t="str">
        <x:v>https://link.springer.com/content/pdf/10.1007/978-3-658-48215-2_8.pdf</x:v>
      </x:c>
      <x:c r="K73" s="14" t="str">
        <x:v>Publisher PDF link</x:v>
      </x:c>
      <x:c r="L73" s="14" t="str">
        <x:v>previous old papers(3).xlsx</x:v>
      </x:c>
      <x:c r="M73" s="14" t="n">
        <x:v>53</x:v>
      </x:c>
      <x:c r="N73" s="14" t="n">
        <x:v>48</x:v>
      </x:c>
      <x:c r="O73" s="14" t="str"/>
      <x:c r="P73" s="14" t="str">
        <x:v>2025 Springer SLR on trade-offs, potentials, and risks; strong for review synthesis.</x:v>
      </x:c>
      <x:c r="Q73" s="14" t="n">
        <x:v>85</x:v>
      </x:c>
      <x:c r="R73" s="14" t="str">
        <x:v>Low-code
potentials
challenges
Literature Review
systematic literature review</x:v>
      </x:c>
      <x:c r="S73" s="14" t="str">
        <x:v>Low-code development and deployment have become increasingly popular in recent years and is now used by many organizations. By providing a simple and user-friendly interface for creating source code, these low-code can significantly reduce the time and cost of developing digital applications. With low-code, software applications can be implemented quickly without requiring in-depth programming skills. This democratization of software development presents significant opportunities but also introduces risks, creating a trade-off for IT governance. This paper aims to examine this trade-off by conducting a systematic literature review of the growing body of literature, specifically focusing on the challenges and potentials of low-code adoption. The results include an overview of the reported challenges and potentials. They can be used in practice by organizations weighing the pros and cons of low-code implementation and governance. Furthermore, the results provide a basis for formulating a research agenda at the organizational level.</x:v>
      </x:c>
    </x:row>
    <x:row r="74" ht="64" customHeight="1">
      <x:c r="A74" s="14" t="n">
        <x:v>73</x:v>
      </x:c>
      <x:c r="B74" s="14" t="str">
        <x:v>Original supplied record</x:v>
      </x:c>
      <x:c r="C74" s="14" t="str">
        <x:v>Screened out after title/abstract/quality screen</x:v>
      </x:c>
      <x:c r="D74" s="14" t="n">
        <x:v>2019</x:v>
      </x:c>
      <x:c r="E74" s="14" t="str">
        <x:v>Adoption and usability of low-code/no-code development tools</x:v>
      </x:c>
      <x:c r="F74" s="14" t="str">
        <x:v>
Tina Beranic, Patrik Rek, Marjan Hericko </x:v>
      </x:c>
      <x:c r="G74" s="14" t="str"/>
      <x:c r="H74" s="14" t="str">
        <x:v>Adoption / citizen development</x:v>
      </x:c>
      <x:c r="I74" s="14" t="str">
        <x:v>CECIIS-2020_paper_31.pdf</x:v>
      </x:c>
      <x:c r="J74" s="14" t="str"/>
      <x:c r="K74" s="14" t="str">
        <x:v>Original URL only; not re-verified in this expansion pass</x:v>
      </x:c>
      <x:c r="L74" s="14" t="str">
        <x:v>previous old papers(3).xlsx</x:v>
      </x:c>
      <x:c r="M74" s="14" t="n">
        <x:v>54</x:v>
      </x:c>
      <x:c r="N74" s="14" t="n">
        <x:v>49</x:v>
      </x:c>
      <x:c r="O74" s="14" t="str"/>
      <x:c r="P74" s="14" t="str"/>
      <x:c r="Q74" s="14" t="n">
        <x:v>40</x:v>
      </x:c>
      <x:c r="R74" s="14" t="str"/>
      <x:c r="S74" s="14" t="str">
        <x:v>The low-code/no-code development approach is an increasingly important domain addressing many current software development challenges. The available reports and forecasts point towards very positive global trends. Therefore, we looked into the popularity, adoption and use of low-code/no-code development approach in the Slovenian environment. This paper presents the results of a study made within business organizations revealing the adoption and acceptance of the low-code/no-code development approach and a usability study of the representative low-code/nocode development tool, expressed with SUS, UMUX and UMUX-Lite. The results reveal that the use of the low-code/no-code development approach in Slovenian organizations is lower than reported by global research. However, a significant overlap can be found in many areas, including reasons for not using the lowcode/no-code development approach. According to the encouraging results of a usability study and the positive expectations related to the low-code/no-code development approach, positive changes are expected. Keywords. LCNC, use, adoption, prevalence, usability, companies, SUS, UMUX, UMUX-Lite</x:v>
      </x:c>
    </x:row>
    <x:row r="75" ht="64" customHeight="1">
      <x:c r="A75" s="14" t="n">
        <x:v>74</x:v>
      </x:c>
      <x:c r="B75" s="14" t="str">
        <x:v>Original supplied record</x:v>
      </x:c>
      <x:c r="C75" s="14" t="str">
        <x:v>Screened out after title/abstract/quality screen</x:v>
      </x:c>
      <x:c r="D75" s="14" t="n">
        <x:v>2023</x:v>
      </x:c>
      <x:c r="E75" s="14" t="str">
        <x:v>A Multiple Mini Case Study on the Adoption of Low Code Development Platforms in Work Systems</x:v>
      </x:c>
      <x:c r="F75" s="14" t="str">
        <x:v>
Sebastian Käss, Susanne Strahringer, Markus Westner</x:v>
      </x:c>
      <x:c r="G75" s="14" t="str">
        <x:v>IEEE</x:v>
      </x:c>
      <x:c r="H75" s="14" t="str">
        <x:v>Adoption / citizen development</x:v>
      </x:c>
      <x:c r="I75" s="14" t="str">
        <x:v>https://ieeexplore.ieee.org/abstract/document/10286446</x:v>
      </x:c>
      <x:c r="J75" s="14" t="str"/>
      <x:c r="K75" s="14" t="str">
        <x:v>Original URL only; not re-verified in this expansion pass</x:v>
      </x:c>
      <x:c r="L75" s="14" t="str">
        <x:v>previous old papers(3).xlsx</x:v>
      </x:c>
      <x:c r="M75" s="14" t="n">
        <x:v>55</x:v>
      </x:c>
      <x:c r="N75" s="14" t="n">
        <x:v>50</x:v>
      </x:c>
      <x:c r="O75" s="14" t="str"/>
      <x:c r="P75" s="14" t="str"/>
      <x:c r="Q75" s="14" t="n">
        <x:v>40</x:v>
      </x:c>
      <x:c r="R75" s="14" t="str">
        <x:v>Low-Code Development Platforms
Socio-Technical Systems theory
Technology-Organisational-Environment model
Information Technology
Application Development
Digital Transformation
Cloud Computing
Artificial Intelligence
Blockchain
Shadow IT</x:v>
      </x:c>
      <x:c r="S75" s="14" t="str">
        <x:v>Although adopting Low Code Development Platforms (LCDPs) promises significant efficiency and effectiveness improvements for application development, its adoption still needs further empirical research. This paper uses a combinatorial approach to research LCDP adoption and presents the results of a multiple mini case study with 36 cases on LCDP adoption. A combination of the Socio-Technical Systems theory and the Technology-Organisational-Environment model is used as a theoretical lens. In this paper, we show that LCDP adoption is a multifaceted phenomenon and identify three archetypes for LCDP adoption (i.e., IT Resource Shortage Mitigators, Application Development Democratisers, and Synergy Realisers) and one archetype for LCDP non-adoption (i.e., Intricacy Adversaries). Each archetype can be interpreted as an individual path towards LCDP (non-)adoption. Based on these archetypes, we derive seven starting points for practitioners to adopt LCDPs in work systems. Moreover, by using the theoretical lenses, the paper shows that for an LCDP adoption to occur, an optimisation of the social and technical sub-systems is required.</x:v>
      </x:c>
    </x:row>
    <x:row r="76" ht="64" customHeight="1">
      <x:c r="A76" s="14" t="n">
        <x:v>75</x:v>
      </x:c>
      <x:c r="B76" s="14" t="str">
        <x:v>Original supplied record</x:v>
      </x:c>
      <x:c r="C76" s="14" t="str">
        <x:v>Duplicate/low-fit flagged</x:v>
      </x:c>
      <x:c r="D76" s="14" t="n">
        <x:v>2024</x:v>
      </x:c>
      <x:c r="E76" s="14" t="str">
        <x:v>Low-Code/No-Code Platforms and Their Impact on Traditional Software Development: A Literature Review</x:v>
      </x:c>
      <x:c r="F76" s="14" t="str"/>
      <x:c r="G76" s="14" t="str"/>
      <x:c r="H76" s="14" t="str">
        <x:v>Review / SLR / mapping</x:v>
      </x:c>
      <x:c r="I76" s="14" t="str">
        <x:v>https://papers.ssrn.com/sol3/papers.cfm?abstract_id=5020038</x:v>
      </x:c>
      <x:c r="J76" s="14" t="str"/>
      <x:c r="K76" s="14" t="str">
        <x:v>Original URL only; not re-verified in this expansion pass</x:v>
      </x:c>
      <x:c r="L76" s="14" t="str">
        <x:v>previous old papers(3).xlsx</x:v>
      </x:c>
      <x:c r="M76" s="14" t="n">
        <x:v>56</x:v>
      </x:c>
      <x:c r="N76" s="14" t="n">
        <x:v>51</x:v>
      </x:c>
      <x:c r="O76" s="14" t="str"/>
      <x:c r="P76" s="14" t="str">
        <x:v>Duplicate or near-duplicate title inside the supplied corpus.</x:v>
      </x:c>
      <x:c r="Q76" s="14" t="n">
        <x:v>20</x:v>
      </x:c>
      <x:c r="R76" s="14" t="str">
        <x:v>software development
Low Code
software development lifecycle
Digital Transformation</x:v>
      </x:c>
      <x:c r="S76" s="14" t="str">
        <x:v>Low-Code/No-Code (LCNC) platforms have revolutionized the landscape of software development by enabling non-technical users and professional developers alike to create functional applications with minimal or no coding skills. This shift is empowering a broader demographic, often referred to as "citizen developers," to actively participate in the development process, thereby democratizing access to technology and accelerating digital transformation across industries. This paper presents a comprehensive review of existing literature on LCNC platforms, detailing their advantages, limitations, and the potential implications for the traditional software development paradigm. By lowering the barrier to entry, LCNC platforms facilitate faster application delivery and foster innovation, particularly in small and mediumsized enterprises (SMEs) and within enterprise teams focused on internal solutions. However, the proliferation of LCNC platforms introduces unique challenges, including issues related to security, scalability, integration, and control for IT departments, as well as the risk of "shadow IT" when applications are developed outside the formal governance structures. The paper critically analyzes these challenges and explores their impact on the software development lifecycle, from ideation to deployment and maintenance. Furthermore, the review discusses the potential effects of LCNC platforms on the roles and workflows of traditional developers, highlighting the shift toward hybrid teams where technical and non-technical users collaborate. To provide a roadmap for future exploration, the paper identifies several research directions that aim to bridge the knowledge gaps in understanding the long-term implications of LCNC platforms on software engineering practices, developer skill requirements, and enterprise IT strategies. This study underscores the need for a balanced approach to adopting LCNC platforms, ensuring that organizations can leverage their benefits without compromising security, compliance, or strategic IT control.</x:v>
      </x:c>
    </x:row>
    <x:row r="77" ht="64" customHeight="1">
      <x:c r="A77" s="14" t="n">
        <x:v>76</x:v>
      </x:c>
      <x:c r="B77" s="14" t="str">
        <x:v>Original supplied record</x:v>
      </x:c>
      <x:c r="C77" s="14" t="str">
        <x:v>Screened out after title/abstract/quality screen</x:v>
      </x:c>
      <x:c r="D77" s="14" t="str"/>
      <x:c r="E77" s="14" t="str">
        <x:v>This is not a research paper but a blog post</x:v>
      </x:c>
      <x:c r="F77" s="14" t="str"/>
      <x:c r="G77" s="14" t="str"/>
      <x:c r="H77" s="14" t="str">
        <x:v>General LCNC</x:v>
      </x:c>
      <x:c r="I77" s="14" t="str">
        <x:v>The Rise of Low-Code and No-Code Platforms in 2025</x:v>
      </x:c>
      <x:c r="J77" s="14" t="str"/>
      <x:c r="K77" s="14" t="str">
        <x:v>Original URL only; not re-verified in this expansion pass</x:v>
      </x:c>
      <x:c r="L77" s="14" t="str">
        <x:v>previous old papers(3).xlsx</x:v>
      </x:c>
      <x:c r="M77" s="14" t="n">
        <x:v>57</x:v>
      </x:c>
      <x:c r="N77" s="14" t="n">
        <x:v>52</x:v>
      </x:c>
      <x:c r="O77" s="14" t="str"/>
      <x:c r="P77" s="14" t="str"/>
      <x:c r="Q77" s="14" t="n">
        <x:v>40</x:v>
      </x:c>
      <x:c r="R77" s="14" t="str"/>
      <x:c r="S77" s="14" t="str"/>
    </x:row>
    <x:row r="78" ht="64" customHeight="1">
      <x:c r="A78" s="14" t="n">
        <x:v>77</x:v>
      </x:c>
      <x:c r="B78" s="14" t="str">
        <x:v>Original supplied record</x:v>
      </x:c>
      <x:c r="C78" s="14" t="str">
        <x:v>Final Top 50</x:v>
      </x:c>
      <x:c r="D78" s="14" t="n">
        <x:v>2024</x:v>
      </x:c>
      <x:c r="E78" s="14" t="str">
        <x:v>Adoption of low-code and no-code development: A systematic literature review and future research agenda</x:v>
      </x:c>
      <x:c r="F78" s="14" t="str">
        <x:v>
Matthew Oladeji Ajimati, Noël Carroll, Mary Lou Maher</x:v>
      </x:c>
      <x:c r="G78" s="14" t="str">
        <x:v>
Journal of Systems and Software</x:v>
      </x:c>
      <x:c r="H78" s="14" t="str">
        <x:v>SLR + future agenda</x:v>
      </x:c>
      <x:c r="I78" s="14" t="str">
        <x:v>https://www.sciencedirect.com/science/article/pii/S0164121224003443</x:v>
      </x:c>
      <x:c r="J78" s="14" t="str"/>
      <x:c r="K78" s="14" t="str">
        <x:v>Full article page verified; PDF/access depends on Elsevier OA/access</x:v>
      </x:c>
      <x:c r="L78" s="14" t="str">
        <x:v>previous old papers(3).xlsx</x:v>
      </x:c>
      <x:c r="M78" s="14" t="n">
        <x:v>58</x:v>
      </x:c>
      <x:c r="N78" s="14" t="n">
        <x:v>53</x:v>
      </x:c>
      <x:c r="O78" s="14" t="str"/>
      <x:c r="P78" s="14" t="str">
        <x:v>Core systematic review and research agenda in Journal of Systems and Software.</x:v>
      </x:c>
      <x:c r="Q78" s="14" t="n">
        <x:v>82</x:v>
      </x:c>
      <x:c r="R78" s="14" t="str">
        <x:v>LCNC
Low-code
digital transformation
software development
low-code development platforms
No-code
user experience</x:v>
      </x:c>
      <x:c r="S78" s="14" t="str">
        <x:v>Context: Low-code/no-code (LCNC) is an emerging technology trend that extends software development beyond professionalsoftware engineers, making it accessible to individuals throughout organizations and society. Objective: We aim to provide a systematic review of the current research on the adoption of LCNC technologies within citizen development (CD) practices for digital transformation (DT), and to propose a research agenda for this field. Method: This review is primarily conducted using a multi-phase systematic literature review of publications from the past five years, i.e., between 2017 and 2023. Results: We identified 40 primary studies that describes the application of LCNC development and CD practices, the theoretical lenses/frameworks used, and the associated benefits and challenges. Conclusion: In this study, we present three key contributions. First, we provide a comprehensive review of the benefits, challenges, theoretical perspectives, and methods used to explore LCNC and CD adoption. Second, we introduce a framework designed to guide managers in effectively adopting LCNC and CD practices. Finally, our systematic review uncovers gaps in existing research and identifies opportunities for further exploration, which paves the way for a future research agenda.</x:v>
      </x:c>
    </x:row>
    <x:row r="79" ht="64" customHeight="1">
      <x:c r="A79" s="14" t="n">
        <x:v>78</x:v>
      </x:c>
      <x:c r="B79" s="14" t="str">
        <x:v>Original supplied record</x:v>
      </x:c>
      <x:c r="C79" s="14" t="str">
        <x:v>Duplicate/low-fit flagged</x:v>
      </x:c>
      <x:c r="D79" s="14" t="n">
        <x:v>2021</x:v>
      </x:c>
      <x:c r="E79" s="14" t="str">
        <x:v>Factors that affect the utilization of low-code 
development platforms: survey study</x:v>
      </x:c>
      <x:c r="F79" s="14" t="str">
        <x:v>
Hana Alsaadi, Dhefaf T. RADAIN, Maysoon M. ALZAHRANI, Wahj F. ALSHAMMARI, Dimah Alahmadi, Bahjat Fakieh</x:v>
      </x:c>
      <x:c r="G79" s="14" t="str">
        <x:v>
Revista Român? de Informatic? ?i Automatic?</x:v>
      </x:c>
      <x:c r="H79" s="14" t="str">
        <x:v>Adoption / citizen development</x:v>
      </x:c>
      <x:c r="I79" s="14" t="str">
        <x:v>https://pdfs.semanticscholar.org/4f18/561e75945c083924b014d6cfe297687f55f5.pdf</x:v>
      </x:c>
      <x:c r="J79" s="14" t="str"/>
      <x:c r="K79" s="14" t="str">
        <x:v>Original URL only; not re-verified in this expansion pass</x:v>
      </x:c>
      <x:c r="L79" s="14" t="str">
        <x:v>previous old papers(3).xlsx</x:v>
      </x:c>
      <x:c r="M79" s="14" t="n">
        <x:v>59</x:v>
      </x:c>
      <x:c r="N79" s="14" t="n">
        <x:v>54</x:v>
      </x:c>
      <x:c r="O79" s="14" t="str"/>
      <x:c r="P79" s="14" t="str">
        <x:v>Duplicate or near-duplicate title inside the supplied corpus.</x:v>
      </x:c>
      <x:c r="Q79" s="14" t="n">
        <x:v>20</x:v>
      </x:c>
      <x:c r="R79" s="14" t="str">
        <x:v>low-code
platforms
factor
artificial intelligence
Information Technology
King Abdulaziz University</x:v>
      </x:c>
      <x:c r="S79" s="14" t="str">
        <x:v>Low-code development platforms were introduced as a solution to the dilemma of the gap between the high demand for applications and the low number of developers available to meet this demand. The lowcode development platforms help the developers to build fast, efficient, and scalable applications with a minimal need for coding, which introduced the concept of citizen developers in the field of application development. This study explores the factors that attract the developers and programmers to utilize LCDP and discusses some of the problems and challenges that prevent other programmers and developers from using it. An online survey was conducted in Saudi Arabia among 49 respondents of professional developers from different departments of Information Technology in several kinds of businesses as well as students from the Computing and Information Technology faculties to understand the developers’ motivations to adopt low-code development platforms. A total of 19 respondents were using LCDP, while the other 30 were not. The paper also highlights the reasons why some developers are not interested in moving toward low-code and commit to the traditional programming approach.</x:v>
      </x:c>
    </x:row>
    <x:row r="80" ht="64" customHeight="1">
      <x:c r="A80" s="14" t="n">
        <x:v>79</x:v>
      </x:c>
      <x:c r="B80" s="14" t="str">
        <x:v>Original supplied record</x:v>
      </x:c>
      <x:c r="C80" s="14" t="str">
        <x:v>Duplicate/low-fit flagged</x:v>
      </x:c>
      <x:c r="D80" s="14" t="n">
        <x:v>2020</x:v>
      </x:c>
      <x:c r="E80" s="14" t="str">
        <x:v>Adoption and usability of low-code/no-code development tools</x:v>
      </x:c>
      <x:c r="F80" s="14" t="str">
        <x:v>Tina Berani?, Patrik Rek, Marjan Heri?ko</x:v>
      </x:c>
      <x:c r="G80" s="14" t="str">
        <x:v>CECIIS (Central European Conference on Information and Intelligent Systems)</x:v>
      </x:c>
      <x:c r="H80" s="14" t="str">
        <x:v>Adoption / citizen development</x:v>
      </x:c>
      <x:c r="I80" s="14" t="str">
        <x:v>https://ceciis.foi.hr/2023/ceciis.foi.hr/2020/web/sites/default/files/ceciis2020/ETICT/CECIIS-2020_paper_31.pdf</x:v>
      </x:c>
      <x:c r="J80" s="14" t="str"/>
      <x:c r="K80" s="14" t="str">
        <x:v>Original URL only; not re-verified in this expansion pass</x:v>
      </x:c>
      <x:c r="L80" s="14" t="str">
        <x:v>previous old papers(3).xlsx</x:v>
      </x:c>
      <x:c r="M80" s="14" t="n">
        <x:v>60</x:v>
      </x:c>
      <x:c r="N80" s="14" t="n">
        <x:v>55</x:v>
      </x:c>
      <x:c r="O80" s="14" t="str">
        <x:v>Berani?, T., Rek, P., &amp; Heri?ko, M. (2020). Adoption and usability of low-code/no-code development tools. CECIIS 2020 Proceedings, 97-104.</x:v>
      </x:c>
      <x:c r="P80" s="14" t="str">
        <x:v>Duplicate or near-duplicate title inside the supplied corpus.</x:v>
      </x:c>
      <x:c r="Q80" s="14" t="n">
        <x:v>20</x:v>
      </x:c>
      <x:c r="R80" s="14" t="str">
        <x:v>LCNC, adoption, prevalence, usability, companies, SUS, UMUX, UMUX-Lite</x:v>
      </x:c>
      <x:c r="S80" s="14" t="str">
        <x:v>Abstract. The low-code/no-code development approach is an increasingly important domain addressing many current software development challenges. The available reports and forecasts point towards very positive global trends. Therefore, we looked into the popularity, adoption and use of low-code/no-code development approach in the Slovenian environment. This paper presents the results of a study made within business organizations revealing the adoption and acceptance of the low-code/no-code development approach and a usability study of the representative low-code/nocode development tool, expressed with SUS, UMUX and UMUX-Lite. The results reveal that the use of the low-code/no-code development approach in Slovenian organizations is lower than reported by global research. However, a significant overlap can be found in many areas, including reasons for not using the lowcode/no-code development approach. According to the encouraging results of a usability study and the positive expectations related to the low-code/no-code development approach, positive changes are expected. Keywords. LCNC, use, adoption, prevalence, usability, companies, SUS, UMUX, UMUX-Lite</x:v>
      </x:c>
    </x:row>
    <x:row r="81" ht="64" customHeight="1">
      <x:c r="A81" s="14" t="n">
        <x:v>80</x:v>
      </x:c>
      <x:c r="B81" s="14" t="str">
        <x:v>Original supplied record</x:v>
      </x:c>
      <x:c r="C81" s="14" t="str">
        <x:v>Screened out after title/abstract/quality screen</x:v>
      </x:c>
      <x:c r="D81" s="14" t="n">
        <x:v>2021</x:v>
      </x:c>
      <x:c r="E81" s="14" t="str">
        <x:v>Low-Code,No-Code,What’sUnderthe
 Hood?</x:v>
      </x:c>
      <x:c r="F81" s="14" t="str">
        <x:v>George F. Hurlburt</x:v>
      </x:c>
      <x:c r="G81" s="14" t="str">
        <x:v>IEEE (IT Professional)</x:v>
      </x:c>
      <x:c r="H81" s="14" t="str">
        <x:v>General LCNC</x:v>
      </x:c>
      <x:c r="I81" s="14" t="str">
        <x:v>https://ieeexplore.ieee.org/stamp/stamp.jsp?tp=&amp;arnumber=9655393&amp;utm_source=sciencedirect_contenthosting&amp;getft_integrator=sciencedirect_contenthosting</x:v>
      </x:c>
      <x:c r="J81" s="14" t="str"/>
      <x:c r="K81" s="14" t="str">
        <x:v>Original URL only; not re-verified in this expansion pass</x:v>
      </x:c>
      <x:c r="L81" s="14" t="str">
        <x:v>previous old papers(3).xlsx</x:v>
      </x:c>
      <x:c r="M81" s="14" t="n">
        <x:v>61</x:v>
      </x:c>
      <x:c r="N81" s="14" t="n">
        <x:v>56</x:v>
      </x:c>
      <x:c r="O81" s="14" t="str">
        <x:v>Hurlburt, G. F. (2021). Low-Code, No-Code: What's Under the Hood?. IT Professional, 23(6), 83-87.</x:v>
      </x:c>
      <x:c r="P81" s="14" t="str"/>
      <x:c r="Q81" s="14" t="n">
        <x:v>40</x:v>
      </x:c>
      <x:c r="R81" s="14" t="str">
        <x:v>Low-code, No-code, Software development, 4GL, CASE, Automation</x:v>
      </x:c>
      <x:c r="S81" s="14" t="str">
        <x:v>In the beginning, there was binary. Moving from mechanical gears to patch panels for register management, mechanical programming quickly gave way to “architecturally driven symbolic machine code,” or assembly language. In the 1950s, assembly language managed the lowest level whereabouts of ones and zeros. Thus, modern computer programming based on symbol manipulation was born. Since the days of vacuum tubes, silicon took command and programming became increasingly sophisticated, reaching toward ever higher levels of abstraction. Available programming languages or dialects now range anywhere between 7001 and 89452 worldwide. Needless to say, only about 50 or so reign supreme at any given point of time. Programming languages often specialize. For example, focuses vary from systems level, functional, object-oriented, aspect-oriented, agentbased, web-based, database, simulation, robotic, concurrent, quantum, graphical visual, and so on. Functional programming, such as Haskell,3 by 1999 offered even higher levels of abstraction, avoiding many lower level programming details inherent in its predecessors. Functional programming was but a forerunner to low-code and even no-code programming.</x:v>
      </x:c>
    </x:row>
    <x:row r="82" ht="64" customHeight="1">
      <x:c r="A82" s="14" t="n">
        <x:v>81</x:v>
      </x:c>
      <x:c r="B82" s="14" t="str">
        <x:v>Original supplied record</x:v>
      </x:c>
      <x:c r="C82" s="14" t="str">
        <x:v>Final Top 50</x:v>
      </x:c>
      <x:c r="D82" s="14" t="n">
        <x:v>2023</x:v>
      </x:c>
      <x:c r="E82" s="14" t="str">
        <x:v>Algorithms in Low-Code-No-Code for Research Applications: A
Practical Review</x:v>
      </x:c>
      <x:c r="F82" s="14" t="str">
        <x:v>Fahim Sufi</x:v>
      </x:c>
      <x:c r="G82" s="14" t="str">
        <x:v>MDPI (Algorithms Journal)</x:v>
      </x:c>
      <x:c r="H82" s="14" t="str">
        <x:v>Practical review / research tools</x:v>
      </x:c>
      <x:c r="I82" s="14" t="str">
        <x:v>https://www.mdpi.com/1999-4893/16/2/108</x:v>
      </x:c>
      <x:c r="J82" s="14" t="str">
        <x:v>https://www.mdpi.com/1999-4893/16/2/108/pdf</x:v>
      </x:c>
      <x:c r="K82" s="14" t="str">
        <x:v>Open-access publisher PDF</x:v>
      </x:c>
      <x:c r="L82" s="14" t="str">
        <x:v>previous old papers(3).xlsx</x:v>
      </x:c>
      <x:c r="M82" s="14" t="n">
        <x:v>62</x:v>
      </x:c>
      <x:c r="N82" s="14" t="n">
        <x:v>57</x:v>
      </x:c>
      <x:c r="O82" s="14" t="str">
        <x:v>Sufi, F. (2023). Algorithms in Low-Code-No-Code for Research Applications: A Practical Review. Algorithms, 16(2), 108.</x:v>
      </x:c>
      <x:c r="P82" s="14" t="str">
        <x:v>Practical review of LCNC for research applications; useful for tool capability overview.</x:v>
      </x:c>
      <x:c r="Q82" s="14" t="n">
        <x:v>72</x:v>
      </x:c>
      <x:c r="R82" s="14" t="str">
        <x:v>LCNC, algorithms, research applications, AI, automation</x:v>
      </x:c>
      <x:c r="S82" s="14" t="str">
        <x:v>Algorithms have evolved from machine code to low-code-no-code (LCNC) in the past 20 years. Observing the growth of LCNC-based algorithm development, the CEO of GitHub mentioned that the future of coding is no coding at all. This paper systematically reviewed several of the recent studies using mainstream LCNC platforms to understand the area of research, the LCNC platforms used within these studies, and the features of LCNC used for solving individual research questions. We identified 23 research works using LCNC platforms, such as SetXRM, the vf-OS platform, Aure-BPM, CRISP-DM, and Microsoft Power Platform (MPP). About 61% of these existing studies resorted to MPP as their primary choice. The critical research problems solved by these research works were within the area of global news analysis, social media analysis, landslides, tornadoes, COVID-19, digitization of process, manufacturing, logistics, and software/app development. The main reasons identified for solving research problems with LCNC algorithms were as follows: (1) obtaining research data from multiple sources in complete automation; (2) generating artificial intelligence-driven insights without having to manually code them. In the course of describing this review, this paper also demonstrates a practical approach to implement a cyber-attack monitoring algorithm with the most popular LCNC platform.</x:v>
      </x:c>
    </x:row>
    <x:row r="83" ht="64" customHeight="1">
      <x:c r="A83" s="14" t="n">
        <x:v>82</x:v>
      </x:c>
      <x:c r="B83" s="14" t="str">
        <x:v>Original supplied record</x:v>
      </x:c>
      <x:c r="C83" s="14" t="str">
        <x:v>Final Top 50</x:v>
      </x:c>
      <x:c r="D83" s="14" t="n">
        <x:v>2023</x:v>
      </x:c>
      <x:c r="E83" s="14" t="str">
        <x:v>Exploring Low-Code Development: A Comprehensive Literature Review</x:v>
      </x:c>
      <x:c r="F83" s="14" t="str">
        <x:v>Karlis Rokis, Marite Kirikova</x:v>
      </x:c>
      <x:c r="G83" s="14" t="str">
        <x:v>Complex Systems Informatics and Modeling Quarterly (CSIMQ)</x:v>
      </x:c>
      <x:c r="H83" s="14" t="str">
        <x:v>Comprehensive literature review</x:v>
      </x:c>
      <x:c r="I83" s="14" t="str">
        <x:v>https://csimq-journals.rtu.lv/csimq/article/view/csimq.2023-36.04</x:v>
      </x:c>
      <x:c r="J83" s="14" t="str"/>
      <x:c r="K83" s="14" t="str">
        <x:v>Open article page verified; PDF available through article page</x:v>
      </x:c>
      <x:c r="L83" s="14" t="str">
        <x:v>previous old papers(3).xlsx</x:v>
      </x:c>
      <x:c r="M83" s="14" t="n">
        <x:v>63</x:v>
      </x:c>
      <x:c r="N83" s="14" t="n">
        <x:v>58</x:v>
      </x:c>
      <x:c r="O83" s="14" t="str">
        <x:v>Rokis, K., &amp; Kirikova, M. (2023). Exploring Low-Code Development: A Comprehensive Literature Review. Complex Systems Informatics and Modeling Quarterly, (36), 68-86.</x:v>
      </x:c>
      <x:c r="P83" s="14" t="str">
        <x:v>Well-cited 2023 comprehensive review; good foundational synthesis for background.</x:v>
      </x:c>
      <x:c r="Q83" s="14" t="n">
        <x:v>71</x:v>
      </x:c>
      <x:c r="R83" s="14" t="str">
        <x:v>Low-code development, LCDP, literature review, benefits, challenges</x:v>
      </x:c>
      <x:c r="S83" s="14" t="str">
        <x:v>Low-code development provides the ability to create software using visual application development tools, predefined components, and automation, minimizing the reliance on manual coding. Furthermore, it enables individuals with limited programming expertise to actively contribute to software development in collaboration with information technology (IT) professionals, improving the alignment between customer or business requirements and the developed solution. This approach speeds up the development process, fosters closer collaboration between software development and business teams, and enhances the organization’s ability to respond to business and market demands or changes. In this article, existing knowledge of low-code development from multiple perspectives is summarized, including the definitions, used tools, applied development lifecycles, application areas, potential benefits, challenges, and, consequently, relevant development and delivery principles.</x:v>
      </x:c>
    </x:row>
    <x:row r="84" ht="64" customHeight="1">
      <x:c r="A84" s="14" t="n">
        <x:v>83</x:v>
      </x:c>
      <x:c r="B84" s="14" t="str">
        <x:v>Original supplied record</x:v>
      </x:c>
      <x:c r="C84" s="14" t="str">
        <x:v>Duplicate/low-fit flagged</x:v>
      </x:c>
      <x:c r="D84" s="14" t="n">
        <x:v>2023</x:v>
      </x:c>
      <x:c r="E84" s="14" t="str">
        <x:v>What about the usability in low-code platforms? A systematic literature review</x:v>
      </x:c>
      <x:c r="F84" s="14" t="str">
        <x:v>Diogo Pinho, Ademar Aguiar, Vasco Amaral</x:v>
      </x:c>
      <x:c r="G84" s="14" t="str">
        <x:v>Journal of Computer Languages (Elsevier)</x:v>
      </x:c>
      <x:c r="H84" s="14" t="str">
        <x:v>Review / SLR / mapping</x:v>
      </x:c>
      <x:c r="I84" s="14" t="str">
        <x:v>http://sciencedirect.com/science/article/abs/pii/S259011842200082X</x:v>
      </x:c>
      <x:c r="J84" s="14" t="str"/>
      <x:c r="K84" s="14" t="str">
        <x:v>Original URL only; not re-verified in this expansion pass</x:v>
      </x:c>
      <x:c r="L84" s="14" t="str">
        <x:v>previous old papers(3).xlsx</x:v>
      </x:c>
      <x:c r="M84" s="14" t="n">
        <x:v>64</x:v>
      </x:c>
      <x:c r="N84" s="14" t="n">
        <x:v>59</x:v>
      </x:c>
      <x:c r="O84" s="14" t="str">
        <x:v>Pinho, D., Aguiar, A., &amp; Amaral, V. (2023). What about the usability in low-code platforms? A systematic literature review. Journal of Computer Languages, 74, 101185.</x:v>
      </x:c>
      <x:c r="P84" s="14" t="str">
        <x:v>Duplicate or near-duplicate title inside the supplied corpus.</x:v>
      </x:c>
      <x:c r="Q84" s="14" t="n">
        <x:v>20</x:v>
      </x:c>
      <x:c r="R84" s="14" t="str">
        <x:v>Low-code, Usability, User Experience, Systematic Literature Review</x:v>
      </x:c>
      <x:c r="S84" s="14" t="str">
        <x:v>Low-code development is a concept whose presence has grown both in academia and the software industry and is discussed alongside others, such as model-driven engineering and domain-specific languages. Usability is an important concept in low-code contexts since users of these tools often lack a background in programming. Grey literature articles have also stated that low-code tools have high usability This paper examines the current literature about low-code and no-code to discover more about them and their relationship with usability, particularly its quality, which factors are the most relevant, and how users view these tools. This focus on usability aims to provide a different point of view from other works on low-code.We performed a systematic literature review based on a formal protocol for this study. The search protocol returned a total of 207 peer-review articles across five databases, which was supplemented with a snowballing process. These were filtered using inclusion and exclusion criteria, resulting in 38 relevant articles that were analysed, synthesised and reported.</x:v>
      </x:c>
    </x:row>
    <x:row r="85" ht="64" customHeight="1">
      <x:c r="A85" s="14" t="n">
        <x:v>84</x:v>
      </x:c>
      <x:c r="B85" s="14" t="str">
        <x:v>Original supplied record</x:v>
      </x:c>
      <x:c r="C85" s="14" t="str">
        <x:v>Duplicate/low-fit flagged</x:v>
      </x:c>
      <x:c r="D85" s="14" t="n">
        <x:v>2023</x:v>
      </x:c>
      <x:c r="E85" s="14" t="str">
        <x:v>Low-Code/No-Code Platforms and Their
Impact on Traditional Software
Development: A Literature Review</x:v>
      </x:c>
      <x:c r="F85" s="14" t="str">
        <x:v>Nicholaus Adhyatma Surya Kusuma, Adam Shidqul Aziz, Umi Saadah, Ahmad Jarir At-Thobari</x:v>
      </x:c>
      <x:c r="G85" s="14" t="str">
        <x:v>ResearchGate / Academia (Self-Archived / Student Paper)</x:v>
      </x:c>
      <x:c r="H85" s="14" t="str">
        <x:v>Review / SLR / mapping</x:v>
      </x:c>
      <x:c r="I85" s="14" t="str">
        <x:v>https://www.academia.edu/download/119551328/Low_Code_No_Code.pdf</x:v>
      </x:c>
      <x:c r="J85" s="14" t="str"/>
      <x:c r="K85" s="14" t="str">
        <x:v>Original URL only; not re-verified in this expansion pass</x:v>
      </x:c>
      <x:c r="L85" s="14" t="str">
        <x:v>previous old papers(3).xlsx</x:v>
      </x:c>
      <x:c r="M85" s="14" t="n">
        <x:v>65</x:v>
      </x:c>
      <x:c r="N85" s="14" t="n">
        <x:v>60</x:v>
      </x:c>
      <x:c r="O85" s="14" t="str">
        <x:v>Kusuma, N. A. S., et al. (2023). Low-Code/No-Code Platforms and Their Impact on Traditional Software Development: A Literature Review. ResearchGate.</x:v>
      </x:c>
      <x:c r="P85" s="14" t="str">
        <x:v>Duplicate or near-duplicate title inside the supplied corpus.</x:v>
      </x:c>
      <x:c r="Q85" s="14" t="n">
        <x:v>20</x:v>
      </x:c>
      <x:c r="R85" s="14" t="str">
        <x:v>LCNC, Traditional Software Development, SDLC, Democratization</x:v>
      </x:c>
      <x:c r="S85" s="14" t="str">
        <x:v>Low-Code/No-Code (LCNC) platforms have revolutionized the landscape of software development by enabling non-technical users and professional developers alike to create functional applications with minimal or no coding skills. This shift is empowering a broader demographic, often referred to as "citizen developers," to actively participate in the development process, thereby democratizing access to technology and accelerating digital transformation across industries. This paper presents a comprehensive review of existing literature on LCNC platforms, detailing their advantages, limitations, and the potential implications for the traditional software development paradigm. By lowering the barrier to entry, LCNC platforms facilitate faster application delivery and foster innovation, particularly in small and medium- sized enterprises (SMEs) and within enterprise teams focused on internal solutions. However, the proliferation of LCNC platforms introduces unique challenges, including issues related to security, scalability, integration, and control for IT departments, as well as the risk of "shadow IT" when applications are developed outside the formal governance structures. The paper critically analyzes these challenges and explores their impact on the software development lifecycle, from ideation to deployment and maintenance. Furthermore, the review discusses the potential effects of LCNC platforms on the roles and workflows of traditional developers, highlighting the shift toward hybrid teams where technical and non-technical users collaborate. To provide a roadmap for future exploration, the paper identifies several research directions that aim to bridge the knowledge gaps in understanding the long-term implications of LCNC platforms on software engineering practices, developer skill requirements, and enterprise IT strategies. This study underscores the need for a balanced approach to adopting LCNC platforms, ensuring that organizations can leverage their benefits without compromising security, compliance, or strategic IT control</x:v>
      </x:c>
    </x:row>
    <x:row r="86" ht="64" customHeight="1">
      <x:c r="A86" s="14" t="n">
        <x:v>85</x:v>
      </x:c>
      <x:c r="B86" s="14" t="str">
        <x:v>Original supplied record</x:v>
      </x:c>
      <x:c r="C86" s="14" t="str">
        <x:v>Duplicate/low-fit flagged</x:v>
      </x:c>
      <x:c r="D86" s="14" t="n">
        <x:v>2022</x:v>
      </x:c>
      <x:c r="E86" s="14" t="str">
        <x:v>Developer discussion topics on the adoption and barriers of low code software development platforms</x:v>
      </x:c>
      <x:c r="F86" s="14" t="str">
        <x:v>Md Abdullah Al Alamin, Gias Uddin, Sanjay Malakar, Sadia Afroz, Tameem Haider, Anindya Iqbal</x:v>
      </x:c>
      <x:c r="G86" s="14" t="str">
        <x:v>Springer (Empirical Software Engineering)</x:v>
      </x:c>
      <x:c r="H86" s="14" t="str">
        <x:v>Adoption barriers / empirical</x:v>
      </x:c>
      <x:c r="I86" s="14" t="str">
        <x:v>https://link.springer.com/article/10.1007/s10664-022-10244-0</x:v>
      </x:c>
      <x:c r="J86" s="14" t="str">
        <x:v>https://arxiv.org/pdf/2209.00844</x:v>
      </x:c>
      <x:c r="K86" s="14" t="str">
        <x:v>Author PDF via arXiv</x:v>
      </x:c>
      <x:c r="L86" s="14" t="str">
        <x:v>previous old papers(3).xlsx</x:v>
      </x:c>
      <x:c r="M86" s="14" t="n">
        <x:v>66</x:v>
      </x:c>
      <x:c r="N86" s="14" t="n">
        <x:v>61</x:v>
      </x:c>
      <x:c r="O86" s="14" t="str">
        <x:v>Alamin, M. A. A., et al. (2022). Developer discussion topics on the adoption and barriers of low code software development platforms. Empirical Software Engineering, 28(1).</x:v>
      </x:c>
      <x:c r="P86" s="14" t="str">
        <x:v>Duplicate or near-duplicate title inside the supplied corpus.</x:v>
      </x:c>
      <x:c r="Q86" s="14" t="n">
        <x:v>20</x:v>
      </x:c>
      <x:c r="R86" s="14" t="str">
        <x:v>Low-code software development, Stack Overflow, Topic modeling, Empirical software engineering, Adoption barriers</x:v>
      </x:c>
      <x:c r="S86" s="14" t="str">
        <x:v>Low-code software development (LCSD) is an emerging approach to democratize application development for software practitioners from diverse backgrounds. LCSD platforms promote rapid application development with a drag-and-drop interface and minimal programming by hand. As it is a relatively new paradigm, it is vital to study developers’ difficulties when adopting LCSD platforms. Software engineers frequently use the online developer forum Stack Overflow (SO) to seek assistance with technical issues. We observe a growing body of LCSD-related posts in SO. This paper presents an empirical study of around 33K SO posts (questions + accepted answers) containing discussions of 38 popular LCSD platforms. We use Topic Modeling to determine the topics discussed in those posts. Additionally, we examine how these topics are spread across the various phases of the agile software development life cycle (SDLC) and which part of LCSD is the most popular and challenging. Our study offers several interesting findings. First, we find 40 LCSD topics that we group into five categories: Application Customization, Database and File Management, Platform Adoption, Platform Maintenance, and Third-party API Integration. Second, while the Application Customization (30%) and Data Storage (25%) topic categories are the most common, inquiries relating to several other categories (e.g., the Platform Adoption topic category) have gained considerable attention in recent years. Third, all topic categories are evolving rapidly, especially during the Covid-19 pandemic. Fourth, the How-type questions are prevalent in all topics, but the What-type and Why-type (i.e., detail information for clarification) questions are more prevalent in the Platform Adoption and Platform Maintenance category. Fifth, LCSD practitioners find topics related to Platform Query the most popular, while topics related to Message Queue and Library Dependency Management as the most difficult to get accepted answers to. Sixth, the Why-type and What-type questions and Agile Maintenance and Deployment phase are the most challenging among practitioners. The findings of this study have implications for all three LCSD stakeholders: LCSD platform vendors, LCSD developers/practitioners, Researchers, and Educators. Researchers and LCSD platform vendors can collaborate to improve different aspects of LCSD, such as better tutorial-based documentation, testing, and DevOps support.</x:v>
      </x:c>
    </x:row>
    <x:row r="87" ht="64" customHeight="1">
      <x:c r="A87" s="14" t="n">
        <x:v>86</x:v>
      </x:c>
      <x:c r="B87" s="14" t="str">
        <x:v>Original supplied record</x:v>
      </x:c>
      <x:c r="C87" s="14" t="str">
        <x:v>Duplicate/low-fit flagged</x:v>
      </x:c>
      <x:c r="D87" s="14" t="n">
        <x:v>2023</x:v>
      </x:c>
      <x:c r="E87" s="14" t="str">
        <x:v>Algorithms in Low-Code-No-Code for Research Applications: A Practical Review</x:v>
      </x:c>
      <x:c r="F87" s="14" t="str">
        <x:v>Fahim Sufi</x:v>
      </x:c>
      <x:c r="G87" s="14" t="str">
        <x:v>MDPI (Algorithms Journal)</x:v>
      </x:c>
      <x:c r="H87" s="14" t="str">
        <x:v>Practical review / research tools</x:v>
      </x:c>
      <x:c r="I87" s="14" t="str">
        <x:v>https://www.mdpi.com/1999-4893/16/2/108</x:v>
      </x:c>
      <x:c r="J87" s="14" t="str">
        <x:v>https://www.mdpi.com/1999-4893/16/2/108/pdf</x:v>
      </x:c>
      <x:c r="K87" s="14" t="str">
        <x:v>Open-access publisher PDF</x:v>
      </x:c>
      <x:c r="L87" s="14" t="str">
        <x:v>previous old papers(3).xlsx</x:v>
      </x:c>
      <x:c r="M87" s="14" t="n">
        <x:v>67</x:v>
      </x:c>
      <x:c r="N87" s="14" t="n">
        <x:v>62</x:v>
      </x:c>
      <x:c r="O87" s="14" t="str">
        <x:v>Sufi, F. (2023). Algorithms in Low-Code-No-Code for Research Applications: A Practical Review. Algorithms, 16(2), 108.</x:v>
      </x:c>
      <x:c r="P87" s="14" t="str">
        <x:v>Duplicate or near-duplicate title inside the supplied corpus.</x:v>
      </x:c>
      <x:c r="Q87" s="14" t="n">
        <x:v>20</x:v>
      </x:c>
      <x:c r="R87" s="14" t="str">
        <x:v>LCNC, Algorithms, Research applications, AI, Automation, Citizen Science</x:v>
      </x:c>
      <x:c r="S87" s="14" t="str">
        <x:v>Algorithms have evolved from machine code to low-code-no-code (LCNC) in the past 20 years. Observing the growth of LCNC-based algorithm development, the CEO of GitHub mentioned that the future of coding is no coding at all. This paper systematically reviewed several of the recent studies using mainstream LCNC platforms to understand the area of research, the LCNC platforms used within these studies, and the features of LCNC used for solving individual research questions. We identified 23 research works using LCNC platforms, such as SetXRM, the vf-OS platform, Aure-BPM, CRISP-DM, and Microsoft Power Platform (MPP). About 61% of these existing studies resorted to MPP as their primary choice. The critical research problems solved by these research works were within the area of global news analysis, social media analysis, landslides, tornadoes, COVID-19, digitization of process, manufacturing, logistics, and software/app development. The main reasons identified for solving research problems with LCNC algorithms were as follows: (1) obtaining research data from multiple sources in complete automation; (2) generating artificial intelligence-driven insights without having to manually code them. In the course of describing this review, this paper also demonstrates a practical approach to implement a cyber-attack monitoring algorithm with the most popular LCNC platform</x:v>
      </x:c>
    </x:row>
    <x:row r="88" ht="64" customHeight="1">
      <x:c r="A88" s="14" t="n">
        <x:v>87</x:v>
      </x:c>
      <x:c r="B88" s="14" t="str">
        <x:v>Original supplied record</x:v>
      </x:c>
      <x:c r="C88" s="14" t="str">
        <x:v>Screened out after title/abstract/quality screen</x:v>
      </x:c>
      <x:c r="D88" s="14" t="n">
        <x:v>2023</x:v>
      </x:c>
      <x:c r="E88" s="14" t="str">
        <x:v>Low-code/No-code Development : A systematic literature review</x:v>
      </x:c>
      <x:c r="F88" s="14" t="str">
        <x:v>Hind El Kamouchi, Mohamed Kissi, Omar El Beggar</x:v>
      </x:c>
      <x:c r="G88" s="14" t="str">
        <x:v>IEEE (SITA Conference)</x:v>
      </x:c>
      <x:c r="H88" s="14" t="str">
        <x:v>Review / SLR / mapping</x:v>
      </x:c>
      <x:c r="I88" s="14" t="str">
        <x:v>https://ieeexplore.ieee.org/abstract/document/10373712</x:v>
      </x:c>
      <x:c r="J88" s="14" t="str"/>
      <x:c r="K88" s="14" t="str">
        <x:v>Original URL only; not re-verified in this expansion pass</x:v>
      </x:c>
      <x:c r="L88" s="14" t="str">
        <x:v>previous old papers(3).xlsx</x:v>
      </x:c>
      <x:c r="M88" s="14" t="n">
        <x:v>68</x:v>
      </x:c>
      <x:c r="N88" s="14" t="n">
        <x:v>63</x:v>
      </x:c>
      <x:c r="O88" s="14" t="str">
        <x:v>El Kamouchi, H., Kissi, M., &amp; El Beggar, O. (2023). Low-code/No-code Development: A systematic literature review. SITA 2023.</x:v>
      </x:c>
      <x:c r="P88" s="14" t="str"/>
      <x:c r="Q88" s="14" t="n">
        <x:v>40</x:v>
      </x:c>
      <x:c r="R88" s="14" t="str">
        <x:v>Low-code development, No-code development, Citizen Development, Smart software engineering, SLR</x:v>
      </x:c>
      <x:c r="S88" s="14" t="str">
        <x:v>The emerging trend of Low-code/No-code development has garnered significant attention from both the business and academic communities. This article provides a systematic literature review that explores the different aspects of Low-code/No-code development. The review focuses on gathering state-of-the-art research, methodologies, and frameworks in this field. It also identifies key challenges and benefits associated with Low-code/No-code development. This review aims to provide a comprehensive understanding of the current trends and advancements in this kind of software engineering. This study could serve as a valuable resource for researchers, practitioners, and organizations looking to adopt Low-code/No-code approaches. Overall, this review contributes to the existing body of knowledge by providing insightful findings and suggestions for future research directions in the Low-code/No-code development realm.</x:v>
      </x:c>
    </x:row>
    <x:row r="89" ht="64" customHeight="1">
      <x:c r="A89" s="14" t="n">
        <x:v>88</x:v>
      </x:c>
      <x:c r="B89" s="14" t="str">
        <x:v>Original supplied record</x:v>
      </x:c>
      <x:c r="C89" s="14" t="str">
        <x:v>Screened out after title/abstract/quality screen</x:v>
      </x:c>
      <x:c r="D89" s="14" t="n">
        <x:v>2023</x:v>
      </x:c>
      <x:c r="E89" s="14" t="str">
        <x:v>UNDERST UNDERSTANDING THE SOCIO-TECHNICAL ASPEC ANDING THE SOCIO-TECHNICAL ASPECTS OF LOWCODE ADOPTION FOR SOF CODE ADOPTION FOR SOFTWARE DEVEL ARE DEVELOPMENT</x:v>
      </x:c>
      <x:c r="F89" s="14" t="str">
        <x:v>Syed Asad Ali Naqvi, Markus Philipp Zimmer, Ella Rlik, Anna-Maria Noll</x:v>
      </x:c>
      <x:c r="G89" s="14" t="str">
        <x:v>AIS (European Conference on Information Systems - ECIS)</x:v>
      </x:c>
      <x:c r="H89" s="14" t="str">
        <x:v>Adoption / citizen development</x:v>
      </x:c>
      <x:c r="I89" s="14" t="str">
        <x:v>https://aisel.aisnet.org/ecis2023_rp/357/</x:v>
      </x:c>
      <x:c r="J89" s="14" t="str"/>
      <x:c r="K89" s="14" t="str">
        <x:v>Original URL only; not re-verified in this expansion pass</x:v>
      </x:c>
      <x:c r="L89" s="14" t="str">
        <x:v>previous old papers(3).xlsx</x:v>
      </x:c>
      <x:c r="M89" s="14" t="n">
        <x:v>69</x:v>
      </x:c>
      <x:c r="N89" s="14" t="n">
        <x:v>64</x:v>
      </x:c>
      <x:c r="O89" s="14" t="str">
        <x:v>Naqvi, S. A. A., et al. (2023). Understanding the Socio-Technical Aspects of Low-Code Adoption for Software Development. ECIS 2023 Proceedings.</x:v>
      </x:c>
      <x:c r="P89" s="14" t="str"/>
      <x:c r="Q89" s="14" t="n">
        <x:v>40</x:v>
      </x:c>
      <x:c r="R89" s="14" t="str">
        <x:v>Low-code platform, Adoption, TOE framework, Socio-technical system, Qualitative study</x:v>
      </x:c>
      <x:c r="S89" s="14" t="str">
        <x:v>The digital transformation of organizations’ leverages several approaches for creating software applications that meet the requirements of the specific context. Besides well-researched approaches like software development, outsourcing, or customizing commercial software packages, low-code platforms today offer a new approach for creating software. The low-code approach allows to develop software without or with limited actual coding, but by combining executable software components into workflows. While the low-code approach simplifies software development and offers a reduction in effort and time, we lack explanations on why organizations adopt it, and which challenges are associated with this adoption. We, therefore, investigate the adoption of the low-code approach based on the technology-organization-environment framework. We identified ten aspects supporting and six aspects hindering the adoption of the low-code approach. For practice, we propose a model that can assist organizations in determining the adequacy for adopting the low-code approach.</x:v>
      </x:c>
    </x:row>
    <x:row r="90" ht="64" customHeight="1">
      <x:c r="A90" s="14" t="n">
        <x:v>89</x:v>
      </x:c>
      <x:c r="B90" s="14" t="str">
        <x:v>Original supplied record</x:v>
      </x:c>
      <x:c r="C90" s="14" t="str">
        <x:v>Duplicate/low-fit flagged</x:v>
      </x:c>
      <x:c r="D90" s="14" t="n">
        <x:v>2024</x:v>
      </x:c>
      <x:c r="E90" s="14" t="str">
        <x:v>Low-code vs. the developer: An empirical study on the developer experience and efficiency of a no-code platform</x:v>
      </x:c>
      <x:c r="F90" s="14" t="str">
        <x:v>Till Guthardt, Jens Kosiol, Oliver Hohlfeld</x:v>
      </x:c>
      <x:c r="G90" s="14" t="str">
        <x:v>ACM (MODELS '24 Companion)</x:v>
      </x:c>
      <x:c r="H90" s="14" t="str">
        <x:v>Developer experience</x:v>
      </x:c>
      <x:c r="I90" s="14" t="str">
        <x:v>https://dl.acm.org/doi/10.1145/3652620.3688332</x:v>
      </x:c>
      <x:c r="J90" s="14" t="str">
        <x:v>https://www.uni-kassel.de/eecs/index.php?eID=dumpFile&amp;f=40025&amp;t=f&amp;token=b1a175d421589348da54f15ffb99610ac0d45cd4</x:v>
      </x:c>
      <x:c r="K90" s="14" t="str">
        <x:v>Institutional PDF</x:v>
      </x:c>
      <x:c r="L90" s="14" t="str">
        <x:v>previous old papers(3).xlsx</x:v>
      </x:c>
      <x:c r="M90" s="14" t="n">
        <x:v>70</x:v>
      </x:c>
      <x:c r="N90" s="14" t="n">
        <x:v>65</x:v>
      </x:c>
      <x:c r="O90" s="14" t="str">
        <x:v>Guthardt, T., Kosiol, J., &amp; Hohlfeld, O. (2024). Low-code vs. the developer: An empirical study on the developer experience and efficiency of a no-code platform. MODELS '24 Companion.</x:v>
      </x:c>
      <x:c r="P90" s="14" t="str">
        <x:v>Duplicate or near-duplicate title inside the supplied corpus.</x:v>
      </x:c>
      <x:c r="Q90" s="14" t="n">
        <x:v>20</x:v>
      </x:c>
      <x:c r="R90" s="14" t="str">
        <x:v>Low-code development platform, Citizen development, Developer efficiency, Empirical study</x:v>
      </x:c>
      <x:c r="S90" s="14" t="str">
        <x:v>The shortage of competent software developers has led to increased interest in Low-Code Development Platforms (LCDPs), which enable application development with no or minimal coding by leveraging pre-built components. This study explores whether LCDPs can fulfill their promise of empowering "citizen developers" (CDs) without extensive programming experience. Our paper involves a two-part empirical study. First, we conducted semi-structured interviews with small and medium-sized enterprises (SMEs) to understand their acceptance of LCDPs and identify potential barriers, such as the need for extensive training. Second, we performed a quantitative experiment to compare the performance of programmers and CDs using a prototype no-code builder. The results reveal no significant difference in task correctness or processing time between the two groups, suggesting that the training concerns for CDs may be overstated. These findings indicate that LCDPs could indeed democratize software development, allowing SMEs to develop necessary applications cost-effectively with minimal training requirements.</x:v>
      </x:c>
    </x:row>
    <x:row r="91" ht="64" customHeight="1">
      <x:c r="A91" s="14" t="n">
        <x:v>90</x:v>
      </x:c>
      <x:c r="B91" s="14" t="str">
        <x:v>Original supplied record</x:v>
      </x:c>
      <x:c r="C91" s="14" t="str">
        <x:v>Final Top 50</x:v>
      </x:c>
      <x:c r="D91" s="14" t="n">
        <x:v>2023</x:v>
      </x:c>
      <x:c r="E91" s="14" t="str">
        <x:v>Combining low-code development with ChatGPT to novel no-code approaches: A focus-group study</x:v>
      </x:c>
      <x:c r="F91" s="14" t="str">
        <x:v>José Martins, Fernando Branco, Henrique Mamede</x:v>
      </x:c>
      <x:c r="G91" s="14" t="str">
        <x:v>Elsevier (Intelligent Systems with Applications)</x:v>
      </x:c>
      <x:c r="H91" s="14" t="str">
        <x:v>ChatGPT + no-code</x:v>
      </x:c>
      <x:c r="I91" s="14" t="str">
        <x:v>https://bibliotecadigital.ipb.pt/entities/publication/29907942-5341-4bd4-a3e3-98315e7b8304</x:v>
      </x:c>
      <x:c r="J91" s="14" t="str">
        <x:v>https://bibliotecadigital.ipb.pt/bitstreams/fceb7ad3-0a2d-4696-ac34-51006dc0b7ae/download</x:v>
      </x:c>
      <x:c r="K91" s="14" t="str">
        <x:v>Open-access repository PDF</x:v>
      </x:c>
      <x:c r="L91" s="14" t="str">
        <x:v>previous old papers(3).xlsx</x:v>
      </x:c>
      <x:c r="M91" s="14" t="n">
        <x:v>71</x:v>
      </x:c>
      <x:c r="N91" s="14" t="n">
        <x:v>66</x:v>
      </x:c>
      <x:c r="O91" s="14" t="str">
        <x:v>Martins, J., Branco, F., &amp; Mamede, H. (2023). Combining low-code development with ChatGPT to novel no-code approaches: A focus-group study. Intelligent Systems with Applications, 20, 200289.</x:v>
      </x:c>
      <x:c r="P91" s="14" t="str">
        <x:v>Early and influential Elsevier open-access study combining low-code with ChatGPT.</x:v>
      </x:c>
      <x:c r="Q91" s="14" t="n">
        <x:v>73</x:v>
      </x:c>
      <x:c r="R91" s="14" t="str">
        <x:v>Low-code, ChatGPT, AI, No-code, Focus group, Software development</x:v>
      </x:c>
      <x:c r="S91" s="14" t="str">
        <x:v>Low-code tools are a trend in software development for business solutions due to their agility and ease of use. There are a certain number of vendors with such solutions. Still, in most Western countries, there is a clear need for the existence of greater quantities of certified and experienced professionals to work with those tools. This means that companies with more resources can attract and maintain those professionals, whilst other smaller organizations must rely on an endless search for this scarce resource. We will present and validate a model designed to transform ChatGPT into a low-code developer, addressing the demand for a more skilled human resource solution. This innovative tool underwent rigorous validation via a focus group study, engaging a panel of highly experienced experts. Their invaluable insights and feedback on the proposed model were systematically gathered and meticulously analysed.</x:v>
      </x:c>
    </x:row>
    <x:row r="92" ht="64" customHeight="1">
      <x:c r="A92" s="14" t="n">
        <x:v>91</x:v>
      </x:c>
      <x:c r="B92" s="14" t="str">
        <x:v>Original supplied record</x:v>
      </x:c>
      <x:c r="C92" s="14" t="str">
        <x:v>Screened out after title/abstract/quality screen</x:v>
      </x:c>
      <x:c r="D92" s="14" t="n">
        <x:v>2024</x:v>
      </x:c>
      <x:c r="E92" s="14" t="str">
        <x:v>Systematic Literature Review of Low-Code and Its Future Trends</x:v>
      </x:c>
      <x:c r="F92" s="14" t="str">
        <x:v>Axel Panamá-Velásquez, Christian Pérez-Salazar, Lizbeth A. Hernández-González, Ángel J. Sánchez-García</x:v>
      </x:c>
      <x:c r="G92" s="14" t="str">
        <x:v>IEEE (CONISOFT - Intl Conf in Software Engineering Research and Innovation)</x:v>
      </x:c>
      <x:c r="H92" s="14" t="str">
        <x:v>Review / SLR / mapping</x:v>
      </x:c>
      <x:c r="I92" s="14" t="str">
        <x:v>https://ieeexplore.ieee.org/abstract/document/10795512</x:v>
      </x:c>
      <x:c r="J92" s="14" t="str"/>
      <x:c r="K92" s="14" t="str">
        <x:v>Original URL only; not re-verified in this expansion pass</x:v>
      </x:c>
      <x:c r="L92" s="14" t="str">
        <x:v>previous old papers(3).xlsx</x:v>
      </x:c>
      <x:c r="M92" s="14" t="n">
        <x:v>72</x:v>
      </x:c>
      <x:c r="N92" s="14" t="n">
        <x:v>67</x:v>
      </x:c>
      <x:c r="O92" s="14" t="str">
        <x:v>Panamá-Velásquez, A., et al. (2024). Systematic Literature Review of Low-Code and Its Future Trends. CONISOFT 2024.</x:v>
      </x:c>
      <x:c r="P92" s="14" t="str"/>
      <x:c r="Q92" s="14" t="n">
        <x:v>40</x:v>
      </x:c>
      <x:c r="R92" s="14" t="str">
        <x:v>Low-code, Future trends, Systematic Literature Review, Software Engineering</x:v>
      </x:c>
      <x:c r="S92" s="14" t="str">
        <x:v>With the growing demand for software, it is necessary to look for new approaches that allow faster de-liveries, without compromising the quality of the final product. Among these new approaches to development is low-code, which emerged as a proposal for applications development, minimizing the need for manual coding. Its application is associated with the use of low-code development platforms (LCDPs), a term most commonly used when discussing low-code in general. This work presents the results obtained from a Systematic Literature Review (SLR), which sought to understand the current state and future trends of the low-code approach to be considered by software engineers as an alternative to high-level programming languages. Applying knowledge of Software Engineering would take care of the quality of the process and the product. This would allow the decrease of time and costs in the construction of software. Fol-lowing Kitchenham's methodology, the characteristics, benefits, challenges and trends of low-code were identified. Although low-code has gained significant ground, there is a notable gap in comprehensive SLRs focused exclusively on this approach, as it is often discussed in conjunction with the no-code approach. After examining various databases such as IEEE Xplore, ACM Digital Library, ScienceDirect, and SpringerLink, fifteen rele-vant primary studies (published between 2018 and 2023) were selected. Among the findings, it was discovered that the characteristics of LCDPs include to use graphical interfaces, support for external services, collaborative development and reuse. The benefits encompass rapid development, cost reduction, ease of use and strong integration. However, challenges such as lack of customization and scalability are faced. Future trends include adoption by small and medium sized enterprises (SMEs), integration with DevOps, and digitalization efforts. Careful evaluation is recommended for effective implementation of low-code approach.</x:v>
      </x:c>
    </x:row>
    <x:row r="93" ht="64" customHeight="1">
      <x:c r="A93" s="14" t="n">
        <x:v>92</x:v>
      </x:c>
      <x:c r="B93" s="14" t="str">
        <x:v>Original supplied record</x:v>
      </x:c>
      <x:c r="C93" s="14" t="str">
        <x:v>Screened out after title/abstract/quality screen</x:v>
      </x:c>
      <x:c r="D93" s="14" t="n">
        <x:v>2023</x:v>
      </x:c>
      <x:c r="E93" s="14" t="str">
        <x:v>Digitalization of Management Processes in Small and Medium-Sized Enterprises—An Overview of Low-Code and No-Code Platforms</x:v>
      </x:c>
      <x:c r="F93" s="14" t="str">
        <x:v>Roman Doma?ski, Hubert Wojciechowski, Jacek Lewandowicz, ?ukasz Hada?</x:v>
      </x:c>
      <x:c r="G93" s="14" t="str">
        <x:v>MDPI (Applied Sciences)</x:v>
      </x:c>
      <x:c r="H93" s="14" t="str">
        <x:v>Review / SLR / mapping</x:v>
      </x:c>
      <x:c r="I93" s="14" t="str">
        <x:v>https://www.mdpi.com/2076-3417/13/24/13078</x:v>
      </x:c>
      <x:c r="J93" s="14" t="str"/>
      <x:c r="K93" s="14" t="str">
        <x:v>Original URL only; not re-verified in this expansion pass</x:v>
      </x:c>
      <x:c r="L93" s="14" t="str">
        <x:v>previous old papers(3).xlsx</x:v>
      </x:c>
      <x:c r="M93" s="14" t="n">
        <x:v>73</x:v>
      </x:c>
      <x:c r="N93" s="14" t="n">
        <x:v>68</x:v>
      </x:c>
      <x:c r="O93" s="14" t="str">
        <x:v>Doma?ski, R., et al. (2023). Digitalization of Management Processes in Small and Medium-Sized Enterprises—An Overview of Low-Code and No-Code Platforms. Applied Sciences, 13(24), 13078.</x:v>
      </x:c>
      <x:c r="P93" s="14" t="str"/>
      <x:c r="Q93" s="14" t="n">
        <x:v>40</x:v>
      </x:c>
      <x:c r="R93" s="14" t="str">
        <x:v>Low-code, No-code, SME, Digitalization, Management processes, Grey Incidence Analysis</x:v>
      </x:c>
      <x:c r="S93" s="14" t="str">
        <x:v>The permanent digitization of management processes entails, among other things, a need for the automation of the process of making certain business decisions. The aim of the article is to review and evaluate low-code/no-code platforms used, for instance, in small and medium-sized enterprises, available on the Polish IT market. Using a systematic literature review, an assessment of the scale of the discussed issue, involving the number of publications, detailed topics covered, etc., is provided in the theoretical part of the study. During our research, using grey incidence analysis, a ranking of low-code/no-code platforms is created based on the characteristics that they offer. The article highlights the benefits of using new technologies in the form of low-code/no-code platforms in the management of smaller organizations.</x:v>
      </x:c>
    </x:row>
    <x:row r="94" ht="64" customHeight="1">
      <x:c r="A94" s="14" t="n">
        <x:v>93</x:v>
      </x:c>
      <x:c r="B94" s="14" t="str">
        <x:v>Original supplied record</x:v>
      </x:c>
      <x:c r="C94" s="14" t="str">
        <x:v>Final Top 50</x:v>
      </x:c>
      <x:c r="D94" s="14" t="n">
        <x:v>2024</x:v>
      </x:c>
      <x:c r="E94" s="14" t="str">
        <x:v>Democratizing Machine Learning: A Practical Comparison of Low-Code and No-Code Platforms</x:v>
      </x:c>
      <x:c r="F94" s="14" t="str">
        <x:v>Luis Giraldo, Sergio Laso</x:v>
      </x:c>
      <x:c r="G94" s="14" t="str">
        <x:v>MDPI (Machine Learning and Knowledge Extraction)</x:v>
      </x:c>
      <x:c r="H94" s="14" t="str">
        <x:v>LCNC ML platforms</x:v>
      </x:c>
      <x:c r="I94" s="14" t="str">
        <x:v>https://www.mdpi.com/2504-4990/7/4/141</x:v>
      </x:c>
      <x:c r="J94" s="14" t="str">
        <x:v>https://www.mdpi.com/2504-4990/7/4/141/pdf</x:v>
      </x:c>
      <x:c r="K94" s="14" t="str">
        <x:v>Open-access publisher PDF</x:v>
      </x:c>
      <x:c r="L94" s="14" t="str">
        <x:v>previous old papers(3).xlsx</x:v>
      </x:c>
      <x:c r="M94" s="14" t="n">
        <x:v>74</x:v>
      </x:c>
      <x:c r="N94" s="14" t="n">
        <x:v>69</x:v>
      </x:c>
      <x:c r="O94" s="14" t="str">
        <x:v>Giraldo, L., &amp; Laso, S. (2024). Democratizing Machine Learning: A Practical Comparison of Low-Code and No-Code Platforms. Machine Learning and Knowledge Extraction, 7(4), 141.</x:v>
      </x:c>
      <x:c r="P94" s="14" t="str">
        <x:v>Recent practical comparison of low-code/no-code ML platforms; strong tool comparison value.</x:v>
      </x:c>
      <x:c r="Q94" s="14" t="n">
        <x:v>81</x:v>
      </x:c>
      <x:c r="R94" s="14" t="str">
        <x:v>Machine Learning, Low-Code, No-Code, AutoML, Democratization, Cloud Computing</x:v>
      </x:c>
      <x:c r="S94" s="14" t="str">
        <x:v>The growing use of machine learning (ML) and artificial intelligence across sectors has shown strong potential to improve decision-making processes. However, the adoption of ML by non-technical professionals remains limited due to the complexity of traditional development workflows, which often require software engineering and data science expertise. In recent years, low-code and no-code platforms have emerged as promising solutions to democratize ML by abstracting many of the technical tasks typically involved in software engineering pipelines. This paper investigates whether these platforms can offer a viable alternative for making ML accessible to non-expert users. Beyond predictive performance, this study also evaluates usability, setup complexity, the transparency of automated workflows, and cost management under realistic “out-of-the-box” conditions. This multidimensional perspective provides insights into the practical viability of LC/NC tools in real-world contexts. The comparative evaluation was conducted using three leading cloud-based tools: Amazon SageMaker Canvas, Google Cloud Vertex AI, and Azure Machine Learning Studio. These tools employ ensemble-based learning algorithms such as Gradient Boosted Trees, XGBoost, and Random Forests. Unlike traditional ML workflows that require extensive software engineering knowledge and manual optimization, these platforms enable domain experts to build predictive models through visual interfaces. The findings show that all platforms achieved high accuracy, with consistent identification of key features. Google Cloud Vertex AI was the most user-friendly, SageMaker Canvas offered a highly visual interface with some setup complexity, and Azure Machine Learning delivered the best model performance with a steeper learning curve. Cost transparency also varied considerably, with Google Cloud and Azure providing clearer safeguards against unexpected charges compared to Sagemaker Canvas</x:v>
      </x:c>
    </x:row>
    <x:row r="95" ht="64" customHeight="1">
      <x:c r="A95" s="14" t="n">
        <x:v>94</x:v>
      </x:c>
      <x:c r="B95" s="14" t="str">
        <x:v>Original supplied record</x:v>
      </x:c>
      <x:c r="C95" s="14" t="str">
        <x:v>Screened out after title/abstract/quality screen</x:v>
      </x:c>
      <x:c r="D95" s="14" t="n">
        <x:v>2024</x:v>
      </x:c>
      <x:c r="E95" s="14" t="str">
        <x:v>Scalability and Performance Limitations of Low-Code and No-Code Platforms for Large-Scale Enterprise Applications and Solutions</x:v>
      </x:c>
      <x:c r="F95" s="14" t="str">
        <x:v>Sandeep Kumar Jangam</x:v>
      </x:c>
      <x:c r="G95" s="14" t="str">
        <x:v>International Journal of Emerging Trends in Computer Science and Information Technology (IJETCSIT)</x:v>
      </x:c>
      <x:c r="H95" s="14" t="str">
        <x:v>Review / SLR / mapping</x:v>
      </x:c>
      <x:c r="I95" s="14" t="str">
        <x:v>https://ijetcsit.org/index.php/ijetcsit/article/view/368</x:v>
      </x:c>
      <x:c r="J95" s="14" t="str"/>
      <x:c r="K95" s="14" t="str">
        <x:v>Original URL only; not re-verified in this expansion pass</x:v>
      </x:c>
      <x:c r="L95" s="14" t="str">
        <x:v>previous old papers(3).xlsx</x:v>
      </x:c>
      <x:c r="M95" s="14" t="n">
        <x:v>75</x:v>
      </x:c>
      <x:c r="N95" s="14" t="n">
        <x:v>70</x:v>
      </x:c>
      <x:c r="O95" s="14" t="str">
        <x:v>Jangam, S. K. (2024). Scalability and Performance Limitations of Low-Code and No-Code Platforms for Large-Scale Enterprise Applications and Solutions. IJETCSIT, 5(3), 68-78.</x:v>
      </x:c>
      <x:c r="P95" s="14" t="str"/>
      <x:c r="Q95" s="14" t="n">
        <x:v>40</x:v>
      </x:c>
      <x:c r="R95" s="14" t="str">
        <x:v>Scalability, Performance, Enterprise Architecture, Low-Code, Governance, Cloud-Native</x:v>
      </x:c>
      <x:c r="S95" s="14" t="str">
        <x:v>Low-Code and No-Code (LCNC) development platforms have become ubiquitous, and are showing promise as a means of rapid application development, enabling business analysts, citizen developers, and professional software engineers to design, deploy and iterate on applications with little to no hand-coded effort. The growth in LCNC platforms has been impacted by the demand of enterprises to increase their delivery time when it comes to digital transformation, costs, and enhanced agility. Notwithstanding these, scalability and performance constraints have been identified as the primary obstacles to widespread acceptance in mission-critical, high-scale enterprise deployments. In this paper, the author examines these issues in detail, drawing on a review of LCNC architectures, vendor propositions, and practical examples. Performance bottlenecks are examined in terms of the overhead incurred during runtime execution, poor performance of the abstraction layers, poor extensibility, integration overheads, and a lack of suitable governance frameworks. We note that LCNC solutions can support small to medium-scale workloads, but expanding to enterprise workloads comes with design concerns regarding the ability to handle a greater level of concurrency, manage intra-replication transactions, and compliance with regulations. Moreover, dependence on proprietary vendor ecosystems carries long-term risks of lock-in, unpredictable performance, and the inability to potentially port out. This paper summarizes the literature (2015-2023), benchmarks, and industry reports into a comprehensive picture of how to assess the scalability of LCNC. The findings suggest that, despite being able to complement conventional development, LCNC platforms have limitations that necessitate hybrid solutions and other DevOps methods to sustain enterprise adoption. The paper concludes by presenting architectural proposals, governance structures, and future research directions, particularly in light of the challenges associated with edge computing, AI-enhanced LCNC development, and cloud-native scalability</x:v>
      </x:c>
    </x:row>
    <x:row r="96" ht="64" customHeight="1">
      <x:c r="A96" s="14" t="n">
        <x:v>95</x:v>
      </x:c>
      <x:c r="B96" s="14" t="str">
        <x:v>Original supplied record</x:v>
      </x:c>
      <x:c r="C96" s="14" t="str">
        <x:v>Screened out after title/abstract/quality screen</x:v>
      </x:c>
      <x:c r="D96" s="14" t="n">
        <x:v>2023</x:v>
      </x:c>
      <x:c r="E96" s="14" t="str">
        <x:v>Low-code/No-code Platforms and Modern ERP Systems</x:v>
      </x:c>
      <x:c r="F96" s="14" t="str">
        <x:v>Ruben Picek</x:v>
      </x:c>
      <x:c r="G96" s="14" t="str">
        <x:v>IEEE (International Conference on Information Management - ICIM)</x:v>
      </x:c>
      <x:c r="H96" s="14" t="str">
        <x:v>AI/LLM + LCNC</x:v>
      </x:c>
      <x:c r="I96" s="14" t="str">
        <x:v>https://ieeexplore.ieee.org/abstract/document/10145213</x:v>
      </x:c>
      <x:c r="J96" s="14" t="str"/>
      <x:c r="K96" s="14" t="str">
        <x:v>Original URL only; not re-verified in this expansion pass</x:v>
      </x:c>
      <x:c r="L96" s="14" t="str">
        <x:v>previous old papers(3).xlsx</x:v>
      </x:c>
      <x:c r="M96" s="14" t="n">
        <x:v>76</x:v>
      </x:c>
      <x:c r="N96" s="14" t="n">
        <x:v>71</x:v>
      </x:c>
      <x:c r="O96" s="14" t="str">
        <x:v>Picek, R. (2023). Low-code/No-code Platforms and Modern ERP Systems. ICIM 2023, 44-48.</x:v>
      </x:c>
      <x:c r="P96" s="14" t="str"/>
      <x:c r="Q96" s="14" t="n">
        <x:v>40</x:v>
      </x:c>
      <x:c r="R96" s="14" t="str">
        <x:v>ERP, Enterprise Resource Planning, Low-code, No-code, Digital Transformation, Customization</x:v>
      </x:c>
      <x:c r="S96" s="14" t="str">
        <x:v>The growing use of machine learning (ML) and artificial intelligence across sectors has shown strong potential to improve decision-making processes. However, the adoption of ML by non-technical professionals remains limited due to the complexity of traditional development workflows, which often require software engineering and data science expertise. In recent years, low-code and no-code platforms have emerged as promising solutions to democratize ML by abstracting many of the technical tasks typically involved in software engineering pipelines. This paper investigates whether these platforms can offer a viable alternative for making ML accessible to non-expert users. Beyond predictive performance, this study also evaluates usability, setup complexity, the transparency of automated workflows, and cost management under realistic “out-of-the-box” conditions. This multidimensional perspective provides insights into the practical viability of LC/NC tools in real-world contexts. The comparative evaluation was conducted using three leading cloud-based tools: Amazon SageMaker Canvas, Google Cloud Vertex AI, and Azure Machine Learning Studio. These tools employ ensemble-based learning algorithms such as Gradient Boosted Trees, XGBoost, and Random Forests. Unlike traditional ML workflows that require extensive software engineering knowledge and manual optimization, these platforms enable domain experts to build predictive models through visual interfaces. The findings show that all platforms achieved high accuracy, with consistent identification of key features. Google Cloud Vertex AI was the most user-friendly, SageMaker Canvas offered a highly visual interface with some setup complexity, and Azure Machine Learning delivered the best model performance with a steeper learning curve. Cost transparency also varied considerably, with Google Cloud and Azure providing clearer safeguards against unexpected charges compared to Sagemaker Canvas.</x:v>
      </x:c>
    </x:row>
    <x:row r="97" ht="64" customHeight="1">
      <x:c r="A97" s="14" t="n">
        <x:v>96</x:v>
      </x:c>
      <x:c r="B97" s="14" t="str">
        <x:v>Original supplied record</x:v>
      </x:c>
      <x:c r="C97" s="14" t="str">
        <x:v>Screened out after title/abstract/quality screen</x:v>
      </x:c>
      <x:c r="D97" s="14" t="str">
        <x:v>Year2025 (Published Jan 2025, covers 2024 trends)</x:v>
      </x:c>
      <x:c r="E97" s="14" t="str">
        <x:v>Artificial Intelligence (AI) for Low-Code and No-Code Development: Making Non-Developers Developers in 2024</x:v>
      </x:c>
      <x:c r="F97" s="14" t="str">
        <x:v>Goutham Kacheru, Nagaraju Arthan, Rohit Bajjuru</x:v>
      </x:c>
      <x:c r="G97" s="14" t="str">
        <x:v>Formosa Journal of Multidisciplinary Research (FJMR)</x:v>
      </x:c>
      <x:c r="H97" s="14" t="str">
        <x:v>AI/LLM + LCNC</x:v>
      </x:c>
      <x:c r="I97" s="14" t="str">
        <x:v>https://www.researchgate.net/profile/Goutham-Kacheru-2/publication/388646891_Artificial_Intelligence_AI_for_Low-Code_and_No-Code_Development_Making_Non-Developers_Developers_in_2024/links/67a0ee0452b58d39f2686bed/Artificial-Intelligence-AI-for-Low-Code-and-No-Code-Development-Making-Non-Developers-Developers-in-2024.pdf</x:v>
      </x:c>
      <x:c r="J97" s="14" t="str"/>
      <x:c r="K97" s="14" t="str">
        <x:v>Original URL only; not re-verified in this expansion pass</x:v>
      </x:c>
      <x:c r="L97" s="14" t="str">
        <x:v>previous old papers(3).xlsx</x:v>
      </x:c>
      <x:c r="M97" s="14" t="n">
        <x:v>77</x:v>
      </x:c>
      <x:c r="N97" s="14" t="n">
        <x:v>72</x:v>
      </x:c>
      <x:c r="O97" s="14" t="str">
        <x:v>Kacheru, G., Arthan, N., &amp; Bajjuru, R. (2025). Artificial Intelligence (AI) for Low-Code and No-Code Development. Formosa Journal of Multidisciplinary Research, 4(1), 141-150.</x:v>
      </x:c>
      <x:c r="P97" s="14" t="str"/>
      <x:c r="Q97" s="14" t="n">
        <x:v>40</x:v>
      </x:c>
      <x:c r="R97" s="14" t="str">
        <x:v>Artificial Intelligence, Low-Code, No-Code, NLP, Democratization, Generative AI</x:v>
      </x:c>
      <x:c r="S97" s="14" t="str">
        <x:v>Low-code and no-code development platforms are here to transform the software development landscape by allowing even non-technical users build applications without the need of their advanced programming skills. Artificial Intelligence (AI) is the most crucial player in this evolution; reinvigorating these platforms with intelligent automation, device responsive templates and user-friendly interfaces (2024). Users can design, build, and deploy applications easily with AI-powered features (e.g., Natural Language Processing (NLP), drag-and-drop functionality to-design application &amp; codegeneration tools). Democratization of Application Development These innovations democratize application development, thereby allowing businesses to innovate faster, lessen the reliance on professional developers, and meet the surging demand for digital solutions. In this paper, we look at how AI-assisted low-code and no-code platforms are changing the way new apps are being developed, empowering non-developers to participate in software creation and accelerating automation of app development. It also presents the challenges and future aspects that we have to deal with in order to use AI on these platforms, as well as their future role of building a bridge between technical expertise and creative problemsolving</x:v>
      </x:c>
    </x:row>
    <x:row r="98" ht="64" customHeight="1">
      <x:c r="A98" s="14" t="n">
        <x:v>97</x:v>
      </x:c>
      <x:c r="B98" s="14" t="str">
        <x:v>Original supplied record</x:v>
      </x:c>
      <x:c r="C98" s="14" t="str">
        <x:v>Final Top 50</x:v>
      </x:c>
      <x:c r="D98" s="14" t="n">
        <x:v>2025</x:v>
      </x:c>
      <x:c r="E98" s="14" t="str">
        <x:v>Navigating Flexibility and Standardisation in Low-Code/No-Code Development</x:v>
      </x:c>
      <x:c r="F98" s="14" t="str">
        <x:v>Altus Viljoen, Benedikt Stelzl, Maoying Yang, Peter A. Nielsen, Stanislav Mamonov</x:v>
      </x:c>
      <x:c r="G98" s="14" t="str">
        <x:v>Information Systems Journal (Wiley)</x:v>
      </x:c>
      <x:c r="H98" s="14" t="str">
        <x:v>Governance / standardisation</x:v>
      </x:c>
      <x:c r="I98" s="14" t="str">
        <x:v>https://onlinelibrary.wiley.com/doi/10.1111/isj.70001</x:v>
      </x:c>
      <x:c r="J98" s="14" t="str"/>
      <x:c r="K98" s="14" t="str">
        <x:v>Full article page verified; PDF may require Wiley access</x:v>
      </x:c>
      <x:c r="L98" s="14" t="str">
        <x:v>previous old papers(3).xlsx</x:v>
      </x:c>
      <x:c r="M98" s="14" t="n">
        <x:v>78</x:v>
      </x:c>
      <x:c r="N98" s="14" t="n">
        <x:v>73</x:v>
      </x:c>
      <x:c r="O98" s="14" t="str">
        <x:v>Viljoen, A., et al. (2025). Navigating Flexibility and Standardisation in Low-Code/No-Code Development. Information Systems Journal.</x:v>
      </x:c>
      <x:c r="P98" s="14" t="str">
        <x:v>High-quality 2025 Information Systems Journal paper for governance trade-offs.</x:v>
      </x:c>
      <x:c r="Q98" s="14" t="n">
        <x:v>88</x:v>
      </x:c>
      <x:c r="R98" s="14" t="str">
        <x:v>Citizen development, Flexibility, IT governance, Paradoxical tension, ServiceNow, Standardisation</x:v>
      </x:c>
      <x:c r="S98" s="14" t="str">
        <x:v>Low-code/no-code (LCNC) platforms, such as ServiceNow and Microsoft Power Platform, enable employees without formal IT training to build applications and automate workflows, thus driving agility and reducing dependence on traditional IT teams. However, LCNC platforms also pose a persistent challenge for organisations: while they offer flexibility and freedom by enabling decentralised development, they also require standardisation and control to manage risks that can be exacerbated by these platforms, such as shadow IT and technical debt. Striking the right balance is difficult—too much flexibility can compromise stability, while too much standardisation can stifle the autonomy and creativity that make LCNC platforms valuable in the first place. This study explores flexibility–standardisation tensions in LCNC development through an investigation of two multinational technology firms with differing LCNC maturity levels, both using ServiceNow. Drawing from 57 interviews, we identify three types of flexibility-standardisation tensions shaped by three key elements of LCNC development: the platform itself, the people using the platform and the organisational processes targeted for improvement. We derive six guidelines used to navigate flexibility–standardisation tensions and demonstrate how these are applied across different stages of LCNC maturity. Building on these insights, we provide concrete, context-sensitive recommendations to help organisations adapt the guidelines to their specific environments. We conclude with forward-looking reflections on how firms can dynamically make sense of these tensions as LCNC platforms and practices evolve. Overall, our findings show that effective LCNC governance requires a dynamic approach—one that balances flexibility and standardisation simultaneously rather than treating them as opposing choices.</x:v>
      </x:c>
    </x:row>
    <x:row r="99" ht="64" customHeight="1">
      <x:c r="A99" s="14" t="n">
        <x:v>98</x:v>
      </x:c>
      <x:c r="B99" s="14" t="str">
        <x:v>Original supplied record</x:v>
      </x:c>
      <x:c r="C99" s="14" t="str">
        <x:v>Screened out after title/abstract/quality screen</x:v>
      </x:c>
      <x:c r="D99" s="14" t="n">
        <x:v>2025</x:v>
      </x:c>
      <x:c r="E99" s="14" t="str">
        <x:v>A systematic literature review on current developments of low code-no code
solutions in the IT sector</x:v>
      </x:c>
      <x:c r="F99" s="14" t="str">
        <x:v>Firoz Mohammed Ozman</x:v>
      </x:c>
      <x:c r="G99" s="14" t="str">
        <x:v>World Journal of Advanced Engineering Technology and Sciences (WJAETS)</x:v>
      </x:c>
      <x:c r="H99" s="14" t="str">
        <x:v>AI/LLM + LCNC</x:v>
      </x:c>
      <x:c r="I99" s="14" t="str">
        <x:v>https://www.researchgate.net/profile/Firoz-Ozman-2/publication/390314699_A_systematic_literature_review_on_current_developments_of_low_code-no_code_solutions_in_the_IT_sector/links/68ae27312c7d3e0029b3b90a/A-systematic-literature-review-on-current-developments-of-low-code-no-code-solutions-in-the-IT-sector.pdf</x:v>
      </x:c>
      <x:c r="J99" s="14" t="str"/>
      <x:c r="K99" s="14" t="str">
        <x:v>Original URL only; not re-verified in this expansion pass</x:v>
      </x:c>
      <x:c r="L99" s="14" t="str">
        <x:v>previous old papers(3).xlsx</x:v>
      </x:c>
      <x:c r="M99" s="14" t="n">
        <x:v>79</x:v>
      </x:c>
      <x:c r="N99" s="14" t="n">
        <x:v>74</x:v>
      </x:c>
      <x:c r="O99" s="14" t="str">
        <x:v>Ozman, F. M. (2025). A systematic literature review on current developments of low code-no code solutions in the IT sector. WJAETS, 14(3), 162-169.</x:v>
      </x:c>
      <x:c r="P99" s="14" t="str"/>
      <x:c r="Q99" s="14" t="n">
        <x:v>40</x:v>
      </x:c>
      <x:c r="R99" s="14" t="str">
        <x:v>LCNC, IT Sector, Automation, Digital Transformation, Citizen Development, Center of Excellence (CoE)</x:v>
      </x:c>
      <x:c r="S99" s="14" t="str">
        <x:v>The growing scarcity of skilled software developers has prompted organizations to turn to low-code/no-code (LCNC) platforms, which allow non-technical users to develop applications without requiring extensive knowledge of coding. LCNC platforms use AI and ML to automate the development process, thereby encouraging innovation and collaboration between IT and business teams. These platforms offer a plethora of benefits-including reduced times for development with drawbacks like vendor lock-in, higher security risks, and less competence in dealing with complex applications. Such research investigates business process changes facilitated by LCNC platforms in pursuit of filling knowledge gaps regarding the way they support improving organizational performance and leading innovation. A systematic review of the existing literature shows both developing trends and obstacles in the adaptation of LCNC platforms in the IT sector. According to findings, these platforms incorporate the entire process of software development, which makes collaboration better and highly decreases the project timelines for organizations, providing them with a window opportunity to enhance efficiency and innovation in their operations. However, organizations need to address governance, security concerns, and scalability issues for the optimal integration of LCNC. Some practical recommendations are to set up a Center of Excellence (CoE), hybrid development approaches, and workforce training programs. This research enriches both academic and practical knowledge of LCNC technologies, enabling IT professionals and organizations to lead digital transformation and maintain competitive advantage in a dynamic market environment.</x:v>
      </x:c>
    </x:row>
    <x:row r="100" ht="64" customHeight="1">
      <x:c r="A100" s="14" t="n">
        <x:v>99</x:v>
      </x:c>
      <x:c r="B100" s="14" t="str">
        <x:v>Original supplied record</x:v>
      </x:c>
      <x:c r="C100" s="14" t="str">
        <x:v>Screened out after title/abstract/quality screen</x:v>
      </x:c>
      <x:c r="D100" s="14" t="n">
        <x:v>2023</x:v>
      </x:c>
      <x:c r="E100" s="14" t="str">
        <x:v>Low-Code and No-Code Evolution: Empowering Domain Experts with Declarative AI Interfaces</x:v>
      </x:c>
      <x:c r="F100" s="14" t="str">
        <x:v>Guru Pramod Rusum, Kiran Kumar Pappula</x:v>
      </x:c>
      <x:c r="G100" s="14" t="str">
        <x:v>International Journal of Artificial Intelligence, Data Science and Machine Learning (IJAIDSML)</x:v>
      </x:c>
      <x:c r="H100" s="14" t="str">
        <x:v>AI/LLM + LCNC</x:v>
      </x:c>
      <x:c r="I100" s="14" t="str">
        <x:v>https://ijaidsml.org/index.php/ijaidsml/article/view/251</x:v>
      </x:c>
      <x:c r="J100" s="14" t="str"/>
      <x:c r="K100" s="14" t="str">
        <x:v>Original URL only; not re-verified in this expansion pass</x:v>
      </x:c>
      <x:c r="L100" s="14" t="str">
        <x:v>previous old papers(3).xlsx</x:v>
      </x:c>
      <x:c r="M100" s="14" t="n">
        <x:v>80</x:v>
      </x:c>
      <x:c r="N100" s="14" t="n">
        <x:v>75</x:v>
      </x:c>
      <x:c r="O100" s="14" t="str">
        <x:v>Rusum, G. P., &amp; Pappula, K. K. (2023). Low-Code and No-Code Evolution: Empowering Domain Experts with Declarative AI Interfaces. IJAIDSML, 4(2).</x:v>
      </x:c>
      <x:c r="P100" s="14" t="str"/>
      <x:c r="Q100" s="14" t="n">
        <x:v>40</x:v>
      </x:c>
      <x:c r="R100" s="14" t="str">
        <x:v>Low-code, No-code, Declarative AI, Citizen Developers, Software Engineering, Automation</x:v>
      </x:c>
      <x:c r="S100" s="14" t="str">
        <x:v>Low-Code and No-Code (LCNC) platforms are revolutionizing software development by enabling non-technical users, or "citizen developers," to build robust applications with minimal or no programming knowledge. These platforms leverage Graphical User Interfaces (GUIs), pre-built components, and declarative logic to abstract complex coding tasks. With the growing adoption of Artificial Intelligence (AI), LCNC tools are evolving into intelligent platforms that integrate AI-driven recommendations, automation, and natural language processing capabilities, enabling domain experts to express requirements declaratively. This paper explores the historical evolution, methodologies, benefits, and challenges of LCNC platforms, focusing on their synergy with AI to empower non-programmers in application development. It also presents a detailed literature survey, methodology, and discussion of findings based on academic and industry practices before 2023</x:v>
      </x:c>
    </x:row>
    <x:row r="101" ht="64" customHeight="1">
      <x:c r="A101" s="14" t="n">
        <x:v>100</x:v>
      </x:c>
      <x:c r="B101" s="14" t="str">
        <x:v>Original supplied record</x:v>
      </x:c>
      <x:c r="C101" s="14" t="str">
        <x:v>Final Top 50</x:v>
      </x:c>
      <x:c r="D101" s="14" t="n">
        <x:v>2025</x:v>
      </x:c>
      <x:c r="E101" s="14" t="str">
        <x:v>Bridging Business and IT Through Low-Code/No-Code: Insights into
Business-IT Collaboration in Enterprise Citizen Developer Programs</x:v>
      </x:c>
      <x:c r="F101" s="14" t="str">
        <x:v>Björn Binzer, Daniel Fuerstenau, Till J. Winkler</x:v>
      </x:c>
      <x:c r="G101" s="14" t="str">
        <x:v>Hawaii International Conference on System Sciences (HICSS)</x:v>
      </x:c>
      <x:c r="H101" s="14" t="str">
        <x:v>Citizen development / business-IT</x:v>
      </x:c>
      <x:c r="I101" s="14" t="str">
        <x:v>https://scholarspace.manoa.hawaii.edu/items/8141b09b-e360-44d7-93db-50afb559e6d0</x:v>
      </x:c>
      <x:c r="J101" s="14" t="str">
        <x:v>https://scholarspace.manoa.hawaii.edu/bitstreams/7b9b77be-722c-4705-9469-1416788f1ef9/download</x:v>
      </x:c>
      <x:c r="K101" s="14" t="str">
        <x:v>Repository PDF</x:v>
      </x:c>
      <x:c r="L101" s="14" t="str">
        <x:v>previous old papers(3).xlsx</x:v>
      </x:c>
      <x:c r="M101" s="14" t="n">
        <x:v>81</x:v>
      </x:c>
      <x:c r="N101" s="14" t="n">
        <x:v>76</x:v>
      </x:c>
      <x:c r="O101" s="14" t="str">
        <x:v>Binzer, B., Fuerstenau, D., &amp; Winkler, T. J. (2025). Bridging Business and IT Through Low-Code/No-Code. HICSS 2025.</x:v>
      </x:c>
      <x:c r="P101" s="14" t="str">
        <x:v>HICSS 2025 paper; directly supports citizen developer and business-IT alignment section.</x:v>
      </x:c>
      <x:c r="Q101" s="14" t="n">
        <x:v>87</x:v>
      </x:c>
      <x:c r="R101" s="14" t="str">
        <x:v>Business-IT Collaboration, Citizen Development, Low-Code, Democratization of IT, Governance</x:v>
      </x:c>
      <x:c r="S101" s="14" t="str">
        <x:v>As low-code/no-code citizen development programs become more prevalent, aiming to upskill the workforce and enhance digital literacy, a new approach to collaboration between business units and IT units is essential. To explore the nature and architecture of these programs, we conducted a multi-case study involving 18 firms and interviewed 22 individuals leading or shaping their respective initiatives. Our analysis revealed 20 measures, categorized into five key collaboration mechanisms: self-empowerment, ideation generation, coordinated scaling, project execution, and professional catalyst. Additionally, we identified four distinct modes of business-IT collaboration within the context of citizen development. Our contribution is twofold: this study provides comprehensive insights into the operational dynamics of citizen development programs, which remain under-explored, and it offers practical guidance for fostering business-IT collaboration.</x:v>
      </x:c>
    </x:row>
    <x:row r="102" ht="64" customHeight="1">
      <x:c r="A102" s="14" t="n">
        <x:v>101</x:v>
      </x:c>
      <x:c r="B102" s="14" t="str">
        <x:v>Original supplied record</x:v>
      </x:c>
      <x:c r="C102" s="14" t="str">
        <x:v>Screened out after title/abstract/quality screen</x:v>
      </x:c>
      <x:c r="D102" s="14" t="n">
        <x:v>2023</x:v>
      </x:c>
      <x:c r="E102" s="14" t="str">
        <x:v>Low-Code/No-Code Artificial Intelligence Platforms for the Health Informatics Domain</x:v>
      </x:c>
      <x:c r="F102" s="14" t="str">
        <x:v>Colm Brandon, Tiziana Margaria</x:v>
      </x:c>
      <x:c r="G102" s="14" t="str">
        <x:v>Electronic Communications of the EASST</x:v>
      </x:c>
      <x:c r="H102" s="14" t="str">
        <x:v>AI/LLM + LCNC</x:v>
      </x:c>
      <x:c r="I102" s="14" t="str">
        <x:v>https://eceasst.org/index.php/eceasst/article/view/2313</x:v>
      </x:c>
      <x:c r="J102" s="14" t="str"/>
      <x:c r="K102" s="14" t="str">
        <x:v>Original URL only; not re-verified in this expansion pass</x:v>
      </x:c>
      <x:c r="L102" s="14" t="str">
        <x:v>previous old papers(3).xlsx</x:v>
      </x:c>
      <x:c r="M102" s="14" t="n">
        <x:v>82</x:v>
      </x:c>
      <x:c r="N102" s="14" t="n">
        <x:v>77</x:v>
      </x:c>
      <x:c r="O102" s="14" t="str">
        <x:v>Brandon, C., &amp; Margaria, T. (2023). Low-Code/No-Code Artificial Intelligence Platforms for the Health Informatics Domain. ECEASST, 82.</x:v>
      </x:c>
      <x:c r="P102" s="14" t="str"/>
      <x:c r="Q102" s="14" t="n">
        <x:v>40</x:v>
      </x:c>
      <x:c r="R102" s="14" t="str">
        <x:v>Health Informatics, Low-Code, No-Code, AI, CINCO, DIME, Public Health, Biomedical Research</x:v>
      </x:c>
      <x:c r="S102" s="14" t="str">
        <x:v>Intelligence (AI) has become a necessity for the extraction of actionable knowledge in a timely manner. Low-code/No-Code (LCNC) AI Platforms enable domain experts to leverage the value that AI has to offer by lowering the technical skills overhead. We develop domain-specific, service-orientated platforms in the context of two subdomains of health informatics. We address in this work the core principles and the architectures of these platforms whose functionality we are constantly extending. Our work conforms to best practices with respect to the integration and interoperability of external services and provides process orchestration in a LCNC modeldriven fashion. We chose the CINCO product DIME and a bespoke tool developed in CINCO Cloud to serve as the underlying infrastructure for our LCNC platforms which address the requirements from our two application domains; public health and biomedical research. In the context of public health, an environment for building AI driven web applications for the automated evaluation of Web-based Health Information (WBHI). With respect to biomedical research, an AI driven workflow environment for the computational analysis of highly-plexed tissue images. We extended both underlying application stacks to support the various AI service functionality needed to address the requirements of the two application domains. The two case studies presented outline the methodology of developing these platforms through co-design with experts in the respective domains. Moving forward we anticipate we will increasingly re-use components which will reduce the development overhead for extending our existing platforms or developing new applications in similar domains.</x:v>
      </x:c>
    </x:row>
    <x:row r="103" ht="64" customHeight="1">
      <x:c r="A103" s="14" t="n">
        <x:v>102</x:v>
      </x:c>
      <x:c r="B103" s="14" t="str">
        <x:v>Original supplied record</x:v>
      </x:c>
      <x:c r="C103" s="14" t="str">
        <x:v>Screened out after title/abstract/quality screen</x:v>
      </x:c>
      <x:c r="D103" s="14" t="n">
        <x:v>2025</x:v>
      </x:c>
      <x:c r="E103" s="14" t="str">
        <x:v>Low-code platform adoption and governance</x:v>
      </x:c>
      <x:c r="F103" s="14" t="str">
        <x:v>Teija Alin</x:v>
      </x:c>
      <x:c r="G103" s="14" t="str">
        <x:v>LUT University (Master's Thesis/Publication)</x:v>
      </x:c>
      <x:c r="H103" s="14" t="str">
        <x:v>AI/LLM + LCNC</x:v>
      </x:c>
      <x:c r="I103" s="14" t="str">
        <x:v>https://lutpub.lut.fi/handle/10024/170128</x:v>
      </x:c>
      <x:c r="J103" s="14" t="str"/>
      <x:c r="K103" s="14" t="str">
        <x:v>Original URL only; not re-verified in this expansion pass</x:v>
      </x:c>
      <x:c r="L103" s="14" t="str">
        <x:v>previous old papers(3).xlsx</x:v>
      </x:c>
      <x:c r="M103" s="14" t="n">
        <x:v>83</x:v>
      </x:c>
      <x:c r="N103" s="14" t="n">
        <x:v>78</x:v>
      </x:c>
      <x:c r="O103" s="14" t="str">
        <x:v>Alin, T. (2025). Low-code platform adoption and governance. LUT University.</x:v>
      </x:c>
      <x:c r="P103" s="14" t="str"/>
      <x:c r="Q103" s="14" t="n">
        <x:v>40</x:v>
      </x:c>
      <x:c r="R103" s="14" t="str">
        <x:v>Low-code, governance, adoption, Power Platform, citizen developer, change management</x:v>
      </x:c>
      <x:c r="S103" s="14" t="str">
        <x:v>The rapid development of low-code platforms presents challenges for IT professionals and the scientific community due to the frequent introduction of new functionalities. Low-code development and its application service management require new thinking, adoption, governance, and development models due to the blending of IT and business roles. Organizations must balance allowing citizen developers to use platform services while restricting certain aspects to ensure security. The AI functionalities of these platforms also necessitate different change leadership approaches.
This study employs a Systematic Literature Review (SLR) as the primary methodology and expert interviews as the secondary methodology. The SLR compares research on low-code platforms from 2022 to 2024, providing reasons for their use, an overview of their architecture, components, and features, and describes their evolution. The report presents research conducted in 2024 on the adoption and governance of low-code platforms, with Power Platform as an example. Expert interviews provide new research insights into adoption and governance, exploring the impact of AI and understanding how to organize low-code development and application management services.
The research identified balanced governance structures and active change management as key to successful low-code adoption. A practical framework is proposed to guide organizations in implementing governance while empowering citizen developers. This balanced approach involves governing the platform with proactive measures and controls while encouraging innovation. The model must be tailored to each organization, considering factors like size, complexity, and specific requirements. Adaptation is necessary as drivers and inhibitors of adoption vary between organizations, and recognizing these strengths and weaknesses is crucial for effective implementation.</x:v>
      </x:c>
    </x:row>
    <x:row r="104" ht="64" customHeight="1">
      <x:c r="A104" s="14" t="n">
        <x:v>103</x:v>
      </x:c>
      <x:c r="B104" s="14" t="str">
        <x:v>Original supplied record</x:v>
      </x:c>
      <x:c r="C104" s="14" t="str">
        <x:v>Screened out after title/abstract/quality screen</x:v>
      </x:c>
      <x:c r="D104" s="14" t="n">
        <x:v>2025</x:v>
      </x:c>
      <x:c r="E104" s="14" t="str">
        <x:v>CHALLENGES OF LOW-CODE/NO-CODE PLATFORMS
IN SUPPORTING ORGANISATIONAL INFORMATION
PROCESSES: A LITERATURE REVIEW AND CASE
STUDY EVIDENCE</x:v>
      </x:c>
      <x:c r="F104" s="14" t="str">
        <x:v>Lazar Rakovi?, Lena ?or?evi? Milutinovi?, Pawe? Lula, Bogdan Ubiparipovi?, Marek Dziura, Tomasz Rojek</x:v>
      </x:c>
      <x:c r="G104" s="14" t="str">
        <x:v>Acta Economica</x:v>
      </x:c>
      <x:c r="H104" s="14" t="str">
        <x:v>Review / SLR / mapping</x:v>
      </x:c>
      <x:c r="I104" s="14" t="str">
        <x:v>https://rfos.fon.bg.ac.rs/bitstream/123456789/3178/1/ActaEconomica43-4.pdf</x:v>
      </x:c>
      <x:c r="J104" s="14" t="str"/>
      <x:c r="K104" s="14" t="str">
        <x:v>Original URL only; not re-verified in this expansion pass</x:v>
      </x:c>
      <x:c r="L104" s="14" t="str">
        <x:v>previous old papers(3).xlsx</x:v>
      </x:c>
      <x:c r="M104" s="14" t="n">
        <x:v>84</x:v>
      </x:c>
      <x:c r="N104" s="14" t="n">
        <x:v>79</x:v>
      </x:c>
      <x:c r="O104" s="14" t="str">
        <x:v>Rakovi?, L., et al. (2025). Challenges of Low-Code/No-Code Platforms in Supporting Organisational Information Processes. Acta Economica, 23(43), 65-79.</x:v>
      </x:c>
      <x:c r="P104" s="14" t="str"/>
      <x:c r="Q104" s="14" t="n">
        <x:v>40</x:v>
      </x:c>
      <x:c r="R104" s="14" t="str">
        <x:v>Low-code, No-code, Inhibitors, Challenges, Vendor Lock-in, Security, Flexibility</x:v>
      </x:c>
      <x:c r="S104" s="14" t="str">
        <x:v>Digital transformation increasingly positions business
informatics at the core of organisational competitiveness,
driving companies to digitalise and automate their
business processes. In this context, low-code/no-code
(LCNC) platforms have emerged as a promising solution
within business information systems, enabling rapid
development of process-oriented applications with
minimal or no programming. By empowering employees
without formal IT backgrounds to participate in system
development, LCNC platforms address the shortage
of IT professionals and help bridge the gap between
technical and domain-specific business knowledge.
Although vendors emphasise advantages such as ease
of use, accelerated development cycles, reduced costs,
lower IT dependency and enhanced process innovation,
they often overlook the organisational, technological and
governance challenges associated with LCNC adoption.
This paper systematically identifies key inhibitors and
LCNC implementation through a comprehensive literature
review, followed by an assessment of their significance
across multiple case studies with LCNC users. Seven
major inhibitors are identified: vendor lock-in, security
and compliance risks, integration challenges, limited
scalability, insufficient documentation, limited testing</x:v>
      </x:c>
    </x:row>
    <x:row r="105" ht="64" customHeight="1">
      <x:c r="A105" s="14" t="n">
        <x:v>104</x:v>
      </x:c>
      <x:c r="B105" s="14" t="str">
        <x:v>Original supplied record</x:v>
      </x:c>
      <x:c r="C105" s="14" t="str">
        <x:v>Screened out after title/abstract/quality screen</x:v>
      </x:c>
      <x:c r="D105" s="14" t="n">
        <x:v>2024</x:v>
      </x:c>
      <x:c r="E105" s="14" t="str">
        <x:v>Leveraging Low-Code/No-Code Platforms for Rapid Digital Transformation in Small and Medium-sized Enterprises (SMEs)</x:v>
      </x:c>
      <x:c r="F105" s="14" t="str">
        <x:v>Dr. Hina Pervaiz, Dr. Razia Ijaz</x:v>
      </x:c>
      <x:c r="G105" s="14" t="str">
        <x:v>International Multidisciplinary Journal of Science Technology and Business (IMJSTB)</x:v>
      </x:c>
      <x:c r="H105" s="14" t="str">
        <x:v>Security / governance / risk</x:v>
      </x:c>
      <x:c r="I105" s="14" t="str">
        <x:v>https://imjstb.com/index.php/Journal/article/view/95</x:v>
      </x:c>
      <x:c r="J105" s="14" t="str"/>
      <x:c r="K105" s="14" t="str">
        <x:v>Original URL only; not re-verified in this expansion pass</x:v>
      </x:c>
      <x:c r="L105" s="14" t="str">
        <x:v>previous old papers(3).xlsx</x:v>
      </x:c>
      <x:c r="M105" s="14" t="n">
        <x:v>85</x:v>
      </x:c>
      <x:c r="N105" s="14" t="n">
        <x:v>80</x:v>
      </x:c>
      <x:c r="O105" s="14" t="str">
        <x:v>Pervaiz, H., &amp; Ijaz, R. (2024). Leveraging Low-Code/No-Code Platforms for Rapid Digital Transformation in SMEs. IMJSTB.</x:v>
      </x:c>
      <x:c r="P105" s="14" t="str"/>
      <x:c r="Q105" s="14" t="n">
        <x:v>40</x:v>
      </x:c>
      <x:c r="R105" s="14" t="str">
        <x:v>SMEs, Digital Transformation, Low-code, No-code, Cost-efficiency, Agility</x:v>
      </x:c>
      <x:c r="S105" s="14" t="str">
        <x:v>Low-code/no-code (LCNC) platforms significantly reduce the technical barriers to software development, enabling small and medium-sized enterprises (SMEs) to accelerate digital transformation. This paper examines how SMEs can leverage LCNC platforms to achieve rapid digital transformation. It evaluates the benefits and risks of LCNC adoption and identifies the managerial capabilities required to maximize value and mitigate hazards. The methodology combines multiple case studies with return-on-investment (ROI) analysis across typical SME scenarios. Findings indicate that when supported by proper governance, skills development, and change management, LCNC can produce high ROI through faster time-to-market, reduced development costs, and improved operational agility. However, unmanaged adoption can create security, quality, and vendor-lock-in risks. The paper concludes with practical guidelines for SME leaders, a proposed framework for LCNC adoption, and directions for further resea</x:v>
      </x:c>
    </x:row>
    <x:row r="106" ht="64" customHeight="1">
      <x:c r="A106" s="14" t="n">
        <x:v>105</x:v>
      </x:c>
      <x:c r="B106" s="14" t="str">
        <x:v>Original supplied record</x:v>
      </x:c>
      <x:c r="C106" s="14" t="str">
        <x:v>Screened out after title/abstract/quality screen</x:v>
      </x:c>
      <x:c r="D106" s="14" t="n">
        <x:v>2024</x:v>
      </x:c>
      <x:c r="E106" s="14" t="str">
        <x:v>Low-Code and No-Code Platforms:Accelerating Enterprise SoftwareDevelopment</x:v>
      </x:c>
      <x:c r="F106" s="14" t="str">
        <x:v>Beauden John</x:v>
      </x:c>
      <x:c r="G106" s="14" t="str">
        <x:v>ResearchGate (Independent Publication)</x:v>
      </x:c>
      <x:c r="H106" s="14" t="str">
        <x:v>Security / governance / risk</x:v>
      </x:c>
      <x:c r="I106" s="14" t="str">
        <x:v>https://www.researchgate.net/profile/Beauden-John/publication/389634372_Low-Code_and_No-Code_Platforms_Accelerating_Enterprise_Software_Development/links/67ca86e7cc055043ce6ec321/Low-Code-and-No-Code-Platforms-Accelerating-Enterprise-Software-Development.pdf</x:v>
      </x:c>
      <x:c r="J106" s="14" t="str"/>
      <x:c r="K106" s="14" t="str">
        <x:v>Original URL only; not re-verified in this expansion pass</x:v>
      </x:c>
      <x:c r="L106" s="14" t="str">
        <x:v>previous old papers(3).xlsx</x:v>
      </x:c>
      <x:c r="M106" s="14" t="n">
        <x:v>86</x:v>
      </x:c>
      <x:c r="N106" s="14" t="n">
        <x:v>81</x:v>
      </x:c>
      <x:c r="O106" s="14" t="str">
        <x:v>John, B. (2024). Low-Code and No-Code Platforms: Accelerating Enterprise Software Development. ResearchGate.</x:v>
      </x:c>
      <x:c r="P106" s="14" t="str"/>
      <x:c r="Q106" s="14" t="n">
        <x:v>40</x:v>
      </x:c>
      <x:c r="R106" s="14" t="str">
        <x:v>Enterprise Software, Acceleration, Drag-and-Drop, Microservices, Cloud Integration</x:v>
      </x:c>
      <x:c r="S106" s="14" t="str">
        <x:v>Low-code and no-code (LCNC) platforms have emerged as transformative tools in enterprise software development, enabling organizations to rapidly build and deploy applications with minimal traditional coding. These platforms provide visual development environments, drag-and-drop interfaces, and pre-built integrations, reducing the dependency on highly skilled developers while fostering collaboration between IT professionals and business users. This paper explores the key features, benefits, and challenges of LCNC platforms, highlighting their role in accelerating digital transformation, improving agility, and reducing development costs. Additionally, it examines use cases across industries such as finance, healthcare, and manufacturing, demonstrating how LCNC solutions enhance workflow automation, data management, and customer experience. Despite their advantages, concerns related to scalability, security, and customization persist, necessitating strategic implementation and governance. The study concludes that while LCNC platforms democratize software development and streamline enterprise operations, they should complement rather than replace traditional software engineering approaches for complex, mission-critical applications.</x:v>
      </x:c>
    </x:row>
    <x:row r="107" ht="64" customHeight="1">
      <x:c r="A107" s="14" t="n">
        <x:v>106</x:v>
      </x:c>
      <x:c r="B107" s="14" t="str">
        <x:v>Original supplied record</x:v>
      </x:c>
      <x:c r="C107" s="14" t="str">
        <x:v>Screened out after title/abstract/quality screen</x:v>
      </x:c>
      <x:c r="D107" s="14" t="n">
        <x:v>2025</x:v>
      </x:c>
      <x:c r="E107" s="14" t="str">
        <x:v>Enabling Citizen Development Through
Low-Code/No-Code</x:v>
      </x:c>
      <x:c r="F107" s="14" t="str">
        <x:v>Björn Binzer</x:v>
      </x:c>
      <x:c r="G107" s="14" t="str">
        <x:v>FernUniversität in Hagen (Doctoral Dissertation)</x:v>
      </x:c>
      <x:c r="H107" s="14" t="str">
        <x:v>Security / governance / risk</x:v>
      </x:c>
      <x:c r="I107" s="14" t="str">
        <x:v>https://ub-deposit.fernuni-hagen.de/servlets/MCRFileNodeServlet/mir_derivate_00002961/Diss_Binzer_Citizen_Development_2025.pdf</x:v>
      </x:c>
      <x:c r="J107" s="14" t="str"/>
      <x:c r="K107" s="14" t="str">
        <x:v>Original URL only; not re-verified in this expansion pass</x:v>
      </x:c>
      <x:c r="L107" s="14" t="str">
        <x:v>previous old papers(3).xlsx</x:v>
      </x:c>
      <x:c r="M107" s="14" t="n">
        <x:v>87</x:v>
      </x:c>
      <x:c r="N107" s="14" t="n">
        <x:v>82</x:v>
      </x:c>
      <x:c r="O107" s="14" t="str">
        <x:v>Binzer, B. (2025). Enabling Citizen Development Through Low-Code/No-Code (Doctoral dissertation, FernUniversität in Hagen).</x:v>
      </x:c>
      <x:c r="P107" s="14" t="str"/>
      <x:c r="Q107" s="14" t="n">
        <x:v>40</x:v>
      </x:c>
      <x:c r="R107" s="14" t="str">
        <x:v>Citizen Development, Low-Code, No-Code, Digital Transformation, Empowerment, Governance, Shadow IT</x:v>
      </x:c>
      <x:c r="S107" s="14" t="str">
        <x:v>Software is eating the world” (Andreessen, 2011), a statement that remains more relevant than ever.
Large parts of human daily lives inevitably depend on software, often realized through “apps” – specific
software designed to address certain needs or solve specific problems. For instance, communication
platforms like Microsoft Teams facilitate global interaction, a necessity that became critical during the
COVID-19 pandemic (Spencer, 2024). Beyond communication, software also extends to our physical
environments, powering smart home devices, where software ensures stable connections, operates
security cameras and manage intrusion detection to safeguard our homes. But the influence of software
goes even further, playing an important role in ensuring human safety and survival. In the automotive
industry, software is integral to the regulation of brake systems (Canuto et al., 2006), while in healthcare,
software governs life-critical medical devices like pacemakers, ensuring that the heartbeats of patients
remain steady (Furrer, 2019). This pervasive integration of software into nearly every facet of daily life
not only underscores its critical importance but also highlights the transformative role of software in
shaping modern society. It is the backbone of digital innovation in the digital age.</x:v>
      </x:c>
    </x:row>
    <x:row r="108" ht="64" customHeight="1">
      <x:c r="A108" s="14" t="n">
        <x:v>107</x:v>
      </x:c>
      <x:c r="B108" s="14" t="str">
        <x:v>Original supplied record</x:v>
      </x:c>
      <x:c r="C108" s="14" t="str">
        <x:v>Screened out after title/abstract/quality screen</x:v>
      </x:c>
      <x:c r="D108" s="14" t="n">
        <x:v>2023</x:v>
      </x:c>
      <x:c r="E108" s="14" t="str">
        <x:v>Emerging low-code/no-code paradigm: Evaluating adoption, opportunities, and cyber security challenges in the infor- mation technology sector</x:v>
      </x:c>
      <x:c r="F108" s="14" t="str">
        <x:v>Paavo Nelimarkka</x:v>
      </x:c>
      <x:c r="G108" s="14" t="str">
        <x:v>Jyväskylä University of Applied Sciences (Theseus Repository)</x:v>
      </x:c>
      <x:c r="H108" s="14" t="str">
        <x:v>Review / SLR / mapping</x:v>
      </x:c>
      <x:c r="I108" s="14" t="str">
        <x:v>https://www.theseus.fi/handle/10024/798496</x:v>
      </x:c>
      <x:c r="J108" s="14" t="str"/>
      <x:c r="K108" s="14" t="str">
        <x:v>Original URL only; not re-verified in this expansion pass</x:v>
      </x:c>
      <x:c r="L108" s="14" t="str">
        <x:v>previous old papers(3).xlsx</x:v>
      </x:c>
      <x:c r="M108" s="14" t="n">
        <x:v>88</x:v>
      </x:c>
      <x:c r="N108" s="14" t="n">
        <x:v>83</x:v>
      </x:c>
      <x:c r="O108" s="14" t="str">
        <x:v>Nelimarkka, P. (2023). Emerging low-code/no-code paradigm: Evaluating adoption, opportunities, and cyber security challenges. Theseus.</x:v>
      </x:c>
      <x:c r="P108" s="14" t="str"/>
      <x:c r="Q108" s="14" t="n">
        <x:v>40</x:v>
      </x:c>
      <x:c r="R108" s="14" t="str">
        <x:v>Low-code, No-code, Cyber Security, Adoption, IT Sector, Citizen Developer, Shadow IT</x:v>
      </x:c>
      <x:c r="S108" s="14" t="str">
        <x:v>Low-code/no-code technologies enable companies to increase the productivity and delivery of software by providing a more streamlined development experience. With these technologies the developers can use graphical interfaces and tools to create software logic with less code or no code at all. Their aim is to democratize application development by empowering people with less technical know-how to create soft
ware logic.
The purpose of this research was to figure out the rate of adoption, prospects and cyber security implications of low-code/no-code technologies. The studies were focused on professionals of information technology and/or cyber security fields.
A literature review and a mixed method study was designed and conducted based on the research objectives. The research includes a survey study which was supported with a set of semi-structured theme interviews. Quantitative data produced by the survey was analyzed by dividing respondents into groups and comparing their results with each other. The survey and the interviews also produced qualitative data which was analyzed with qualitative content analysis technique.
Analysis of the data produced interesting findings which were compared to the findings from the literature review and former research. Findings suggest that about half of the information technology and/or cyber security companies are already utilizing low-code/no-code technologies and many companies are expecting to adopt these technologies in near future. Study also accomplished to produce evaluation of cyber security risks related to low-code/no-code technologies and means to mitigate them.</x:v>
      </x:c>
    </x:row>
    <x:row r="109" ht="64" customHeight="1">
      <x:c r="A109" s="14" t="n">
        <x:v>108</x:v>
      </x:c>
      <x:c r="B109" s="14" t="str">
        <x:v>Original supplied record</x:v>
      </x:c>
      <x:c r="C109" s="14" t="str">
        <x:v>Final Top 50</x:v>
      </x:c>
      <x:c r="D109" s="14" t="n">
        <x:v>2024</x:v>
      </x:c>
      <x:c r="E109" s="14" t="str">
        <x:v>Using LowCode and NoCode Tools in DevOps: A Multivocal Literature Review</x:v>
      </x:c>
      <x:c r="F109" s="14" t="str">
        <x:v>Faezeh Khorram, Jean-Marie Mottu, Gerson Sunyé</x:v>
      </x:c>
      <x:c r="G109" s="14" t="str">
        <x:v>Springer (Software Architecture. ECSA 2023 Tracks and Workshops)</x:v>
      </x:c>
      <x:c r="H109" s="14" t="str">
        <x:v>DevOps / MLR</x:v>
      </x:c>
      <x:c r="I109" s="14" t="str">
        <x:v>https://link.springer.com/chapter/10.1007/978-3-031-50590-4_5</x:v>
      </x:c>
      <x:c r="J109" s="14" t="str"/>
      <x:c r="K109" s="14" t="str">
        <x:v>Full chapter page verified; PDF may require Springer access</x:v>
      </x:c>
      <x:c r="L109" s="14" t="str">
        <x:v>previous old papers(3).xlsx</x:v>
      </x:c>
      <x:c r="M109" s="14" t="n">
        <x:v>89</x:v>
      </x:c>
      <x:c r="N109" s="14" t="n">
        <x:v>84</x:v>
      </x:c>
      <x:c r="O109" s="14" t="str">
        <x:v>Khorram, F., Mottu, J. M., &amp; Sunyé, G. (2024). Using LowCode and NoCode Tools in DevOps. Springer.</x:v>
      </x:c>
      <x:c r="P109" s="14" t="str">
        <x:v>Multivocal review connecting LCNC tools with DevOps practices.</x:v>
      </x:c>
      <x:c r="Q109" s="14" t="n">
        <x:v>75</x:v>
      </x:c>
      <x:c r="R109" s="14" t="str">
        <x:v>DevOps, Low-code, No-code, Multivocal Literature Review, Automation, CI/CD</x:v>
      </x:c>
      <x:c r="S109" s="14" t="str">
        <x:v>DevOps and Low-code/No-code tools are two trends that are gaining interest in both academic and industry environments. This study analyzed the usage of low-code and no-code tools in DevOps. It examined the available tools, their applications, and the associated concerns or limitations. To do so, a Multivocal Literature Review (MVLR) was conducted to include academic and grey literature. The results reveal the utilization of a range of tools across multiple aspects of DevOps, including application delivery, workflow automation, process management, continuous integration, deployment, monitoring and logging. Despite their potential benefits, concerns and limitations such as script standardization, security risks, limited customization, vendor lock-in, and scalability issues persist. This review, alongside identified concerns, emphasizes the increasing adoption and benefits of Low-code/No-code tools in DevOps.</x:v>
      </x:c>
    </x:row>
    <x:row r="110" ht="64" customHeight="1">
      <x:c r="A110" s="14" t="n">
        <x:v>109</x:v>
      </x:c>
      <x:c r="B110" s="14" t="str">
        <x:v>Original supplied record</x:v>
      </x:c>
      <x:c r="C110" s="14" t="str">
        <x:v>Screened out after title/abstract/quality screen</x:v>
      </x:c>
      <x:c r="D110" s="14" t="n">
        <x:v>2025</x:v>
      </x:c>
      <x:c r="E110" s="14" t="str">
        <x:v>The Evolution of Low-Code Architecture in Salesforce for the Public Sector</x:v>
      </x:c>
      <x:c r="F110" s="14" t="str">
        <x:v>Pavana Kumar Dasu Madhusudhan</x:v>
      </x:c>
      <x:c r="G110" s="14" t="str">
        <x:v>Sarcouncil Journal of Multidisciplinary</x:v>
      </x:c>
      <x:c r="H110" s="14" t="str">
        <x:v>Security / governance / risk</x:v>
      </x:c>
      <x:c r="I110" s="14" t="str">
        <x:v>https://sarcouncil.com/2025/08/the-evolution-of-low-code-architecture-in-salesforce-for-the-public-sector</x:v>
      </x:c>
      <x:c r="J110" s="14" t="str"/>
      <x:c r="K110" s="14" t="str">
        <x:v>Original URL only; not re-verified in this expansion pass</x:v>
      </x:c>
      <x:c r="L110" s="14" t="str">
        <x:v>previous old papers(3).xlsx</x:v>
      </x:c>
      <x:c r="M110" s="14" t="n">
        <x:v>90</x:v>
      </x:c>
      <x:c r="N110" s="14" t="n">
        <x:v>85</x:v>
      </x:c>
      <x:c r="O110" s="14" t="str">
        <x:v>Madhusudhan, P. K. D. (2025). The Evolution of Low-Code Architecture in Salesforce for the Public Sector. Sarcouncil Journal, 5(8), 211-218.</x:v>
      </x:c>
      <x:c r="P110" s="14" t="str"/>
      <x:c r="Q110" s="14" t="n">
        <x:v>40</x:v>
      </x:c>
      <x:c r="R110" s="14" t="str">
        <x:v>Salesforce, Low-Code, Public Sector, Government, Digital Transformation, Metadata-Driven Architecture</x:v>
      </x:c>
      <x:c r="S110" s="14" t="str">
        <x:v>Government agencies face growing demands to enhance their digital service delivery approaches while maintaining rigorous operational transparency and compliance standards. Low-code development platforms are innovative tools that facilitate the rapid creation of apps without requiring extensive coding expertise. Salesforce's metadata-focused architecture signifies a major change from conventional business software development by providing visual development environments that enable application creation for a broader audience. Significant prospects for modernizing the public sector are revealed by the platform's development from basic workflow automation to sophisticated orchestration features. Experience Cloud improvements deliver comprehensive citizen engagement solutions, accommodating accessibility requirements and multilingual needs vital for inclusive government services. Security and compliance structures integrated within the platform meet regulatory demands while preserving development flexibility. The modernization allows government agencies to shorten development timelines, enable domain specialists to become citizen developers, and establish responsive services that adjust to evolving policy demands. Integration features enable smooth connections with legacy systems while supporting contemporary API-focused architectures. The platform's thorough audit documentation and governance mechanisms maintain accountability standards necessary in public sector settings. Government organizations utilizing low-code solutions can accomplish operational efficiency improvements while preserving transparency and security standards expected by citizens and regulatory authorities.</x:v>
      </x:c>
    </x:row>
    <x:row r="111" ht="64" customHeight="1">
      <x:c r="A111" s="14" t="n">
        <x:v>110</x:v>
      </x:c>
      <x:c r="B111" s="14" t="str">
        <x:v>Original supplied record</x:v>
      </x:c>
      <x:c r="C111" s="14" t="str">
        <x:v>Screened out after title/abstract/quality screen</x:v>
      </x:c>
      <x:c r="D111" s="14" t="n">
        <x:v>2024</x:v>
      </x:c>
      <x:c r="E111" s="14" t="str">
        <x:v>Transforming Business Applications In
SME By Implementing
Low-Code/No-Code
Development Platforms</x:v>
      </x:c>
      <x:c r="F111" s="14" t="str">
        <x:v>Pham Hoai Nam</x:v>
      </x:c>
      <x:c r="G111" s="14" t="str">
        <x:v>Vietnamese-German University (Bachelor/Master Thesis)</x:v>
      </x:c>
      <x:c r="H111" s="14" t="str">
        <x:v>AI/LLM + LCNC</x:v>
      </x:c>
      <x:c r="I111" s="14" t="str">
        <x:v>https://epub.vgu.edu.vn/bitstream/dlibvgu/1689/2/Transforming%20business%20applications%20in%20SME%20by%20implementing%20low-code%20no-code%20development%20platforms.pdf</x:v>
      </x:c>
      <x:c r="J111" s="14" t="str"/>
      <x:c r="K111" s="14" t="str">
        <x:v>Original URL only; not re-verified in this expansion pass</x:v>
      </x:c>
      <x:c r="L111" s="14" t="str">
        <x:v>previous old papers(3).xlsx</x:v>
      </x:c>
      <x:c r="M111" s="14" t="n">
        <x:v>91</x:v>
      </x:c>
      <x:c r="N111" s="14" t="n">
        <x:v>86</x:v>
      </x:c>
      <x:c r="O111" s="14" t="str">
        <x:v>Nam, P. H. (2024). Transforming Business Applications In SME By Implementing Low-Code/No-Code Development Platforms. VGU.</x:v>
      </x:c>
      <x:c r="P111" s="14" t="str"/>
      <x:c r="Q111" s="14" t="n">
        <x:v>40</x:v>
      </x:c>
      <x:c r="R111" s="14" t="str">
        <x:v>SME, Digital Transformation, Low-code, No-code, Business Applications, Vietnam</x:v>
      </x:c>
      <x:c r="S111" s="14" t="str">
        <x:v>Small and medium-sized businesses (SMEs) are crucial to inclusive and sustainable
economic development. The significance of small and medium-sized businesses stems from
their role as key generators of employment, economic development, and innovation. As the
global economy confronts persistent problems, governments help SMEs to become an
essential part of social cohesion. However, many conventional SMEs with a limited
understanding of technology and fear of change impede adaptation and growth. Low/No-Code
Development (LNCD) is an automated software development method that allows businesses
to respond fast to market changes while requiring little or no code for automated application
maintenance. We have examined the current market-leading LNCD systems in this report.
We have outlined the essential characteristics that an LNCD platform should possess
and provide (developers' hub, open source, messaging, and Pub/Su (Pub/Sub is an
asynchronous, scalable messaging service that decouples message-generating services from
message-processing services.)) and determine that AI &amp; ML is the key to advancing LNC
technology. Then, the virtual factory open operating system (vf-OS) was compared to current
LNCD platforms through benchmarking.
As a result, a list of findings has been prepared that emphasizes the absence of
transversal platforms. In order to build ecosystems for the production and distribution of
applications, among other things, these findings were founded on open standards. In addition,
the usage of wizards that help developers through the various phases of development using a
range of development tools may considerably enhance the user experience while creating new
business applications. Based on our analysis of each component, we will play a significant
role in the transformation of the digital world and generate a turnaround in the software
development industry, especially for SMEs</x:v>
      </x:c>
    </x:row>
    <x:row r="112" ht="64" customHeight="1">
      <x:c r="A112" s="14" t="n">
        <x:v>111</x:v>
      </x:c>
      <x:c r="B112" s="14" t="str">
        <x:v>Original supplied record</x:v>
      </x:c>
      <x:c r="C112" s="14" t="str">
        <x:v>Final Top 50</x:v>
      </x:c>
      <x:c r="D112" s="14" t="n">
        <x:v>2025</x:v>
      </x:c>
      <x:c r="E112" s="14" t="str">
        <x:v>Democratizing Digital Transformation: A Multisector Study of Low-Code Adoption Patterns, Limitations, and Emerging Paradigms</x:v>
      </x:c>
      <x:c r="F112" s="14" t="str">
        <x:v>Zhengwu Shi, Junyu Dong, Yanhai Gan</x:v>
      </x:c>
      <x:c r="G112" s="14" t="str">
        <x:v>MDPI (Applied Sciences)</x:v>
      </x:c>
      <x:c r="H112" s="14" t="str">
        <x:v>Adoption patterns</x:v>
      </x:c>
      <x:c r="I112" s="14" t="str">
        <x:v>https://www.mdpi.com/2076-3417/15/12/6481</x:v>
      </x:c>
      <x:c r="J112" s="14" t="str">
        <x:v>https://www.mdpi.com/2076-3417/15/12/6481/pdf</x:v>
      </x:c>
      <x:c r="K112" s="14" t="str">
        <x:v>Open-access publisher PDF</x:v>
      </x:c>
      <x:c r="L112" s="14" t="str">
        <x:v>previous old papers(3).xlsx</x:v>
      </x:c>
      <x:c r="M112" s="14" t="n">
        <x:v>92</x:v>
      </x:c>
      <x:c r="N112" s="14" t="n">
        <x:v>87</x:v>
      </x:c>
      <x:c r="O112" s="14" t="str">
        <x:v>Shi, Z., Dong, J., &amp; Gan, Y. (2025). Democratizing Digital Transformation: A Multisector Study. Applied Sciences, 15(12), 6481.</x:v>
      </x:c>
      <x:c r="P112" s="14" t="str">
        <x:v>Fresh 2025 multisector adoption study; useful for adoption/limitations themes.</x:v>
      </x:c>
      <x:c r="Q112" s="14" t="n">
        <x:v>86</x:v>
      </x:c>
      <x:c r="R112" s="14" t="str">
        <x:v>Low-code, Digital Transformation, Multisector Study, Adoption Patterns, Manufacturing, Aerospace, Energy</x:v>
      </x:c>
      <x:c r="S112" s="14" t="str">
        <x:v>Low-code development platforms (LCDPs) have emerged as transformative tools for accelerating digital transformation across industries by enabling rapid application development with minimal hand-coding. This paper synthesizes existing research and industry practices to explore the adoption, benefits, challenges, and future directions of low-code technologies in key sectors: automotive, equipment manufacturing, aerospace, electronics, and energy. Drawing on academic literature, industry reports, and case studies, this review highlights how low-code bridges the gap between IT and domain experts while addressing sector-specific demands. The study emphasizes the significant impact of LCDPs on operational efficiency, innovation acceleration, and the democratization of software development. However, it also identifies critical challenges related to customization, interoperability, security, and usability. The paper concludes with a discussion of emerging trends, including enhanced AI/ML integration, edge computing, open-source ecosystems, and sector-specific platform evolution, which are poised to shape the future of low-code development. Ultimately, this research underscores the potential of low-code platforms to drive sustainable digital transformation while addressing the complex needs of modern industries.</x:v>
      </x:c>
    </x:row>
    <x:row r="113" ht="64" customHeight="1">
      <x:c r="A113" s="14" t="n">
        <x:v>112</x:v>
      </x:c>
      <x:c r="B113" s="14" t="str">
        <x:v>Original supplied record</x:v>
      </x:c>
      <x:c r="C113" s="14" t="str">
        <x:v>Screened out after title/abstract/quality screen</x:v>
      </x:c>
      <x:c r="D113" s="14" t="n">
        <x:v>2024</x:v>
      </x:c>
      <x:c r="E113" s="14" t="str">
        <x:v>The Future of Intelligent Automation: How Low-Code/No-Code
Platforms are Transforming AI Decisioning</x:v>
      </x:c>
      <x:c r="F113" s="14" t="str">
        <x:v>Vamsi Viswanadhapalli</x:v>
      </x:c>
      <x:c r="G113" s="14" t="str">
        <x:v>ResearchGate (Independent/Industry Publication)</x:v>
      </x:c>
      <x:c r="H113" s="14" t="str">
        <x:v>AI/LLM + LCNC</x:v>
      </x:c>
      <x:c r="I113" s="14" t="str">
        <x:v>https://www.researchgate.net/profile/Vamsi-Viswanadhapalli/publication/389253989_The_Future_of_Intelligent_Automation_How_Low-CodeNo-Code_Platforms_are_Transforming_AI_Decisioning/links/67ba2ae896e7fb48b9cab3c8/The-Future-of-Intelligent-Automation-How-Low-Code-No-Code-Platforms-are-Transforming-AI-Decisioning.pdf</x:v>
      </x:c>
      <x:c r="J113" s="14" t="str"/>
      <x:c r="K113" s="14" t="str">
        <x:v>Original URL only; not re-verified in this expansion pass</x:v>
      </x:c>
      <x:c r="L113" s="14" t="str">
        <x:v>previous old papers(3).xlsx</x:v>
      </x:c>
      <x:c r="M113" s="14" t="n">
        <x:v>93</x:v>
      </x:c>
      <x:c r="N113" s="14" t="n">
        <x:v>88</x:v>
      </x:c>
      <x:c r="O113" s="14" t="str">
        <x:v>Viswanadhapalli, V. (2024). The Future of Intelligent Automation. ResearchGate.</x:v>
      </x:c>
      <x:c r="P113" s="14" t="str"/>
      <x:c r="Q113" s="14" t="n">
        <x:v>40</x:v>
      </x:c>
      <x:c r="R113" s="14" t="str">
        <x:v>Intelligent Automation, AI Decisioning, Low-code, No-code, AI Democratization, Machine Learning</x:v>
      </x:c>
      <x:c r="S113" s="14" t="str">
        <x:v>Generative AI is revolutionizing the landscape of software development, fundamentally reshaping how code is created, debugged, and optimized. By automating repetitive tasks, generating intelligent code suggestions, and enhancing problem-solving capabilities, this cutting-edge technology is streamlining workflows, significantly boosting productivity, and enabling unprecedented innovation in the programming world. As developers embrace this AI-driven evolution, the focus shifts from manual coding to higher-order problem-solving and creative design. Tools such as GitHub Copilot and OpenAI Codex exemplify how AI can act as a collaborative partner, reducing time spent on routine tasks and enhancing the quality of software through intelligent testing and refactoring. Generative AI’s incorporation within software development is not simply a trend; it is a radical change that has occurred in the digital order. But as we prepare to engage in this revolution, it is critical to situate it in a larger context, including ethics, human factors, and the role of the expert. Achieving a management style that incorporates prudence while also recognizing the advantages of automation will be vital in realizing the full potential that generative AI provides in future software system development.</x:v>
      </x:c>
    </x:row>
    <x:row r="114" ht="64" customHeight="1">
      <x:c r="A114" s="14" t="n">
        <x:v>113</x:v>
      </x:c>
      <x:c r="B114" s="14" t="str">
        <x:v>Original supplied record</x:v>
      </x:c>
      <x:c r="C114" s="14" t="str">
        <x:v>Screened out after title/abstract/quality screen</x:v>
      </x:c>
      <x:c r="D114" s="14" t="n">
        <x:v>2025</x:v>
      </x:c>
      <x:c r="E114" s="14" t="str">
        <x:v>7 Software Development: No-Code and Low-Code with Generative AI</x:v>
      </x:c>
      <x:c r="F114" s="14" t="str">
        <x:v>Ajith Kumar R., Radhakrishnan T., Manoj Kumar T. K., Sivan Dawn, Satheesh Kumar K.</x:v>
      </x:c>
      <x:c r="G114" s="14" t="str">
        <x:v>De Gruyter (Chapter in Book: Generative AI for Software Development)</x:v>
      </x:c>
      <x:c r="H114" s="14" t="str">
        <x:v>AI/LLM + LCNC</x:v>
      </x:c>
      <x:c r="I114" s="14" t="str">
        <x:v>https://books.google.com/books?hl=en&amp;lr=&amp;id=mJiAEQAAQBAJ&amp;oi=fnd&amp;pg=PA145&amp;dq=low-code+no-code%22+%22vendor+lock-in%22+%22security%22+%22governance%22&amp;ots=ikbelQ315x&amp;sig=vK29Q41oEl4q5Ixsp5hjx4dNEO0</x:v>
      </x:c>
      <x:c r="J114" s="14" t="str"/>
      <x:c r="K114" s="14" t="str">
        <x:v>Original URL only; not re-verified in this expansion pass</x:v>
      </x:c>
      <x:c r="L114" s="14" t="str">
        <x:v>previous old papers(3).xlsx</x:v>
      </x:c>
      <x:c r="M114" s="14" t="n">
        <x:v>94</x:v>
      </x:c>
      <x:c r="N114" s="14" t="n">
        <x:v>89</x:v>
      </x:c>
      <x:c r="O114" s="14" t="str">
        <x:v>Kumar, A. R., et al. (2025). Software Development: No-Code and Low-Code with Generative AI. In Generative AI for Software Development. De Gruyter.</x:v>
      </x:c>
      <x:c r="P114" s="14" t="str"/>
      <x:c r="Q114" s="14" t="n">
        <x:v>40</x:v>
      </x:c>
      <x:c r="R114" s="14" t="str">
        <x:v>Generative AI, Software Development, Low-Code, No-Code, Automation, Code Generation</x:v>
      </x:c>
      <x:c r="S114" s="14" t="str">
        <x:v>This chapter explores the transformative impact of Generative AI on the Low-Code/No-Code landscape. It discusses how GenAI (LLMs) is acting as a force multiplier, allowing users to generate entire LCNC applications from natural language prompts. It covers the shift from "Visual Assembly" to "Prompt-Based Generation" and evaluates the implications for developer productivity and the democratization of software creation.</x:v>
      </x:c>
    </x:row>
    <x:row r="115" ht="64" customHeight="1">
      <x:c r="A115" s="14" t="n">
        <x:v>114</x:v>
      </x:c>
      <x:c r="B115" s="14" t="str">
        <x:v>Original supplied record</x:v>
      </x:c>
      <x:c r="C115" s="14" t="str">
        <x:v>Screened out after title/abstract/quality screen</x:v>
      </x:c>
      <x:c r="D115" s="14" t="n">
        <x:v>2025</x:v>
      </x:c>
      <x:c r="E115" s="14" t="str">
        <x:v>The Rise of Low-Code/No-Code: Can Rapid Application Development Replace Traditional Coding?</x:v>
      </x:c>
      <x:c r="F115" s="14" t="str">
        <x:v>Zubair Anoushka, Abeed Muhammed</x:v>
      </x:c>
      <x:c r="G115" s="14" t="str">
        <x:v>ResearchGate (Independent Publication)</x:v>
      </x:c>
      <x:c r="H115" s="14" t="str">
        <x:v>AI/LLM + LCNC</x:v>
      </x:c>
      <x:c r="I115" s="14" t="str">
        <x:v>https://www.researchgate.net/profile/Zubair-Anoushka/publication/396100206_The_Rise_of_Low-CodeNo-Code_Can_Rapid_Application_Development_Replace_Traditional_Coding/links/68de2ce5ffdca73694b4dfc3/The-Rise-of-Low-Code-No-Code-Can-Rapid-Application-Development-Replace-Traditional-Coding.pdf</x:v>
      </x:c>
      <x:c r="J115" s="14" t="str"/>
      <x:c r="K115" s="14" t="str">
        <x:v>Original URL only; not re-verified in this expansion pass</x:v>
      </x:c>
      <x:c r="L115" s="14" t="str">
        <x:v>previous old papers(3).xlsx</x:v>
      </x:c>
      <x:c r="M115" s="14" t="n">
        <x:v>95</x:v>
      </x:c>
      <x:c r="N115" s="14" t="n">
        <x:v>90</x:v>
      </x:c>
      <x:c r="O115" s="14" t="str">
        <x:v>Anoushka, Z., &amp; Muhammed, A. (2025). The Rise of Low-Code/No-Code: Can Rapid Application Development Replace Traditional Coding? ResearchGate.</x:v>
      </x:c>
      <x:c r="P115" s="14" t="str"/>
      <x:c r="Q115" s="14" t="n">
        <x:v>40</x:v>
      </x:c>
      <x:c r="R115" s="14" t="str">
        <x:v>Low-code, No-code, Traditional Coding, Rapid Application Development, Scalability, Complementary Paradigm</x:v>
      </x:c>
      <x:c r="S115" s="14" t="str">
        <x:v>The rapid evolution of software development has given rise to low-code and no-code (LCNC) platforms, which promise to accelerate application delivery, reduce dependence on professional developers, and empower citizen developers. While traditional coding remains the backbone of complex, large-scale systems, LCNC is increasingly positioned as a disruptive force in rapid application development. This article explores whether LCNC can replace traditional coding or whether it will function as a complementary paradigm. Drawing on scholarly insights (Kulkarni, 2021; Pahuja, 2024) and recent industry analyses, the study reviews the core trends driving LCNC adoption, including automation, AI integration, and business agility. The strengths and limitations of LCNC are critically examined, alongside a comparative discussion with traditional software development practices. The article concludes that LCNC has significant potential to transform enterprise IT by democratizing development and streamlining workflows, but its limitations in scalability, governance, and complexity suggest that traditional coding will remain indispensable.</x:v>
      </x:c>
    </x:row>
    <x:row r="116" ht="64" customHeight="1">
      <x:c r="A116" s="14" t="n">
        <x:v>115</x:v>
      </x:c>
      <x:c r="B116" s="14" t="str">
        <x:v>Original supplied record</x:v>
      </x:c>
      <x:c r="C116" s="14" t="str">
        <x:v>Screened out after title/abstract/quality screen</x:v>
      </x:c>
      <x:c r="D116" s="14" t="n">
        <x:v>2023</x:v>
      </x:c>
      <x:c r="E116" s="14" t="str">
        <x:v>LOW-CODE/NO-CODE DEVELOPMENT
PLATFORMS</x:v>
      </x:c>
      <x:c r="F116" s="14" t="str">
        <x:v>IJCA Contributors (Specific author names not indexed in metadata; associated with Vol 4, Issue 1)</x:v>
      </x:c>
      <x:c r="G116" s="14" t="str">
        <x:v>International Journal of Computer Applications (IJCA)</x:v>
      </x:c>
      <x:c r="H116" s="14" t="str">
        <x:v>General LCNC</x:v>
      </x:c>
      <x:c r="I116" s="14" t="str">
        <x:v>https://www.academia.edu/download/112013132/IJCA_04_01_004.pdf</x:v>
      </x:c>
      <x:c r="J116" s="14" t="str"/>
      <x:c r="K116" s="14" t="str">
        <x:v>Original URL only; not re-verified in this expansion pass</x:v>
      </x:c>
      <x:c r="L116" s="14" t="str">
        <x:v>previous old papers(3).xlsx</x:v>
      </x:c>
      <x:c r="M116" s="14" t="n">
        <x:v>96</x:v>
      </x:c>
      <x:c r="N116" s="14" t="n">
        <x:v>91</x:v>
      </x:c>
      <x:c r="O116" s="14" t="str">
        <x:v>IJCA. (2023). Low-Code/No-Code Development Platforms. International Journal of Computer Applications, 4(1), 27-35.</x:v>
      </x:c>
      <x:c r="P116" s="14" t="str"/>
      <x:c r="Q116" s="14" t="n">
        <x:v>40</x:v>
      </x:c>
      <x:c r="R116" s="14" t="str">
        <x:v>Low-code, No-code, Rapid Application Development, Digital Transformation, Software Engineering</x:v>
      </x:c>
      <x:c r="S116" s="14" t="str">
        <x:v>The advent of Low-Code/No-Code (LCNC) Development Platforms marks a significant paradigm shift in the realm of software development. These platforms have democratized the creation of applications, making it accessible to a broader range of individuals and organizations. By minimizing the necessity for traditional coding, LCNC platforms have streamlined the application development process, leading to faster deployment times and reduced costs. This whitepaper explores the emergence of LCNC platforms, their key features, benefits, challenges, and their potential impact on the future of software development.</x:v>
      </x:c>
    </x:row>
    <x:row r="117" ht="64" customHeight="1">
      <x:c r="A117" s="14" t="n">
        <x:v>116</x:v>
      </x:c>
      <x:c r="B117" s="14" t="str">
        <x:v>Original supplied record</x:v>
      </x:c>
      <x:c r="C117" s="14" t="str">
        <x:v>Screened out after title/abstract/quality screen</x:v>
      </x:c>
      <x:c r="D117" s="14" t="n">
        <x:v>2025</x:v>
      </x:c>
      <x:c r="E117" s="14" t="str">
        <x:v>The Synergy of Low-Code/No-Code and AI/ML:
Enhancing Intelligent Automation</x:v>
      </x:c>
      <x:c r="F117" s="14" t="str">
        <x:v>Nisar Ahmed, Muhammad Shahbaz, Hafiz Shafiq Ur Rehman Khalil, Zunaira Javed, Muhammad Awais Khalid, Farhan Ahmed Khan, Zeshan Maroof</x:v>
      </x:c>
      <x:c r="G117" s="14" t="str">
        <x:v>World Journal of Engineering and Technology (WJET)</x:v>
      </x:c>
      <x:c r="H117" s="14" t="str">
        <x:v>Security / governance / risk</x:v>
      </x:c>
      <x:c r="I117" s="14" t="str">
        <x:v>https://www.researchgate.net/profile/Hafiz-Shafiq-Ur-Rehman-Khalil/publication/395414491_The_Synergy_of_Low-CodeNo-Code_and_AIML_Enhancing_Intelligent_Automation/links/68c32c3498c6b27a73ff4946/The-Synergy-of-Low-Code-No-Code-and-AI-ML-Enhancing-Intelligent-Automation.pdf</x:v>
      </x:c>
      <x:c r="J117" s="14" t="str"/>
      <x:c r="K117" s="14" t="str">
        <x:v>Original URL only; not re-verified in this expansion pass</x:v>
      </x:c>
      <x:c r="L117" s="14" t="str">
        <x:v>previous old papers(3).xlsx</x:v>
      </x:c>
      <x:c r="M117" s="14" t="n">
        <x:v>97</x:v>
      </x:c>
      <x:c r="N117" s="14" t="n">
        <x:v>92</x:v>
      </x:c>
      <x:c r="O117" s="14" t="str">
        <x:v>Ahmed, N., et al. (2025). The Synergy of Low-Code/No-Code and AI/ML: Enhancing Intelligent Automation. World Journal of Engineering and Technology, 13, 754-763.</x:v>
      </x:c>
      <x:c r="P117" s="14" t="str"/>
      <x:c r="Q117" s="14" t="n">
        <x:v>40</x:v>
      </x:c>
      <x:c r="R117" s="14" t="str">
        <x:v>Low-Code, No-Code, Artificial Intelligence, Machine Learning, Intelligent Automation, Democratization</x:v>
      </x:c>
      <x:c r="S117" s="14" t="str">
        <x:v>Software development has been revolutionized by low-code and no-code platforms , which make it possible for even non-programmers to create and launch apps rapidly. In contrast to traditional coding, they speed up development with drag-and-drop components, pre-built templates, and ready-to-use plugins. Their effects on accelerating innovation, reducing expenses, and facilitating digital transformation are examined in this article, together with issues including scalability, security, and restricted customization. It also investigates how similar platforms might be used in the future to promote cooperation between technical and non-technical teams. While LCNC platforms help close the gap between IT solutions and business needs, thorough integration is necessary for long-term success.</x:v>
      </x:c>
    </x:row>
    <x:row r="118" ht="64" customHeight="1">
      <x:c r="A118" s="14" t="n">
        <x:v>117</x:v>
      </x:c>
      <x:c r="B118" s="14" t="str">
        <x:v>Original supplied record</x:v>
      </x:c>
      <x:c r="C118" s="14" t="str">
        <x:v>Screened out after title/abstract/quality screen</x:v>
      </x:c>
      <x:c r="D118" s="14" t="n">
        <x:v>2024</x:v>
      </x:c>
      <x:c r="E118" s="14" t="str">
        <x:v>Low/No Code Development and
Generative AI</x:v>
      </x:c>
      <x:c r="F118" s="14" t="str">
        <x:v>N. Sido, E. A. Emon</x:v>
      </x:c>
      <x:c r="G118" s="14" t="str">
        <x:v>Aalborg University (Student Thesis/Project)</x:v>
      </x:c>
      <x:c r="H118" s="14" t="str">
        <x:v>AI/LLM + LCNC</x:v>
      </x:c>
      <x:c r="I118" s="14" t="str">
        <x:v>https://vbn.aau.dk/ws/files/717521040/LowNOCode__GenAI.pdf</x:v>
      </x:c>
      <x:c r="J118" s="14" t="str"/>
      <x:c r="K118" s="14" t="str">
        <x:v>Original URL only; not re-verified in this expansion pass</x:v>
      </x:c>
      <x:c r="L118" s="14" t="str">
        <x:v>previous old papers(3).xlsx</x:v>
      </x:c>
      <x:c r="M118" s="14" t="n">
        <x:v>98</x:v>
      </x:c>
      <x:c r="N118" s="14" t="n">
        <x:v>93</x:v>
      </x:c>
      <x:c r="O118" s="14" t="str">
        <x:v>Sido, N., &amp; Emon, E. A. (2024). Low/No Code Development and Generative AI. Aalborg University.</x:v>
      </x:c>
      <x:c r="P118" s="14" t="str"/>
      <x:c r="Q118" s="14" t="n">
        <x:v>40</x:v>
      </x:c>
      <x:c r="R118" s="14" t="str">
        <x:v>Low-Code, No-Code, Generative AI, ChatGPT, Software Engineering, Productivity, Future of Coding</x:v>
      </x:c>
      <x:c r="S118" s="14" t="str">
        <x:v>The rapid rise of no-code platforms has revolutionized the landscape of AI and machine learning operations (ML Ops), enabling users with minimal technical expertise to design, deploy, and manage intelligent systems. However, as organizations increasingly adopt these tools for production-grade applications, scalability emerges as a critical challenge. This paper explores the multifaceted scalability issues inherent in no-code AI and ML Ops integration, including performance bottlenecks, data handling limitations, model deployment constraints, and orchestration complexity. It highlights how the abstraction layers that empower non-technical users can also obscure vital system-level optimizations, impeding the seamless scaling of workflows. Additionally, we examine the trade-offs between ease of use and system flexibility, and the impact of proprietary no-code architectures on interoperability and extensibility. By analyzing current platform capabilities and real-world case studies, we identify key areas for improvement and propose design principles for developing scalable, resilient no-code AI/ML infrastructures that can meet enterprise-level demands without compromising usability.
</x:v>
      </x:c>
    </x:row>
    <x:row r="119" ht="64" customHeight="1">
      <x:c r="A119" s="14" t="n">
        <x:v>118</x:v>
      </x:c>
      <x:c r="B119" s="14" t="str">
        <x:v>Original supplied record</x:v>
      </x:c>
      <x:c r="C119" s="14" t="str">
        <x:v>Screened out after title/abstract/quality screen</x:v>
      </x:c>
      <x:c r="D119" s="14" t="n">
        <x:v>2025</x:v>
      </x:c>
      <x:c r="E119" s="14" t="str">
        <x:v>Scalability Challenges in No-Code AI and ML Ops
Integration</x:v>
      </x:c>
      <x:c r="F119" s="14" t="str">
        <x:v>Ilesanmi Michael</x:v>
      </x:c>
      <x:c r="G119" s="14" t="str">
        <x:v>ResearchGate (Independent/Professional Publication)</x:v>
      </x:c>
      <x:c r="H119" s="14" t="str">
        <x:v>AI/LLM + LCNC</x:v>
      </x:c>
      <x:c r="I119" s="14" t="str">
        <x:v>https://www.researchgate.net/profile/Ilesanmi-Michael-2/publication/392521744_Scalability_Challenges_in_No-Code_AI_and_ML_Ops_Integration/links/6846f180d1054b0207fac542/Scalability-Challenges-in-No-Code-AI-and-ML-Ops-Integration.pdf</x:v>
      </x:c>
      <x:c r="J119" s="14" t="str"/>
      <x:c r="K119" s="14" t="str">
        <x:v>Original URL only; not re-verified in this expansion pass</x:v>
      </x:c>
      <x:c r="L119" s="14" t="str">
        <x:v>previous old papers(3).xlsx</x:v>
      </x:c>
      <x:c r="M119" s="14" t="n">
        <x:v>99</x:v>
      </x:c>
      <x:c r="N119" s="14" t="n">
        <x:v>94</x:v>
      </x:c>
      <x:c r="O119" s="14" t="str">
        <x:v>Michael, I. (2025). Scalability Challenges in No-Code AI and ML Ops Integration. ResearchGate.</x:v>
      </x:c>
      <x:c r="P119" s="14" t="str"/>
      <x:c r="Q119" s="14" t="n">
        <x:v>40</x:v>
      </x:c>
      <x:c r="R119" s="14" t="str">
        <x:v>Scalability, MLOps, No-Code AI, Machine Learning, Integration, Enterprise Architecture</x:v>
      </x:c>
      <x:c r="S119" s="14" t="str">
        <x:v>The rapid rise of no-code platforms has revolutionized the landscape of AI and machine learning operations (ML Ops), enabling users with minimal technical expertise to design, deploy, and manage intelligent systems. However, as organizations increasingly adopt these tools for production-grade applications, scalability emerges as a critical challenge. This paper explores the multifaceted scalability issues inherent in no-code AI and ML Ops integration, including performance bottlenecks, data handling limitations, model deployment constraints, and orchestration complexity. It highlights how the abstraction layers that empower non-technical users can also obscure vital system-level optimizations, impeding the seamless scaling of workflows. Additionally, we examine the trade-offs between ease of use and system flexibility, and the impact of proprietary no-code architectures on interoperability and extensibility. By analyzing current platform capabilities and real-world case studies, we identify key areas for improvement and propose design principles for developing scalable, resilient no-code AI/ML infrastructures that can meet enterprise-level demands without compromising usability.</x:v>
      </x:c>
    </x:row>
    <x:row r="120" ht="64" customHeight="1">
      <x:c r="A120" s="14" t="n">
        <x:v>119</x:v>
      </x:c>
      <x:c r="B120" s="14" t="str">
        <x:v>Original supplied record</x:v>
      </x:c>
      <x:c r="C120" s="14" t="str">
        <x:v>Screened out after title/abstract/quality screen</x:v>
      </x:c>
      <x:c r="D120" s="14" t="n">
        <x:v>2023</x:v>
      </x:c>
      <x:c r="E120" s="14" t="str">
        <x:v>Strategic Risk Management for Low-Code Development Platforms with Enterprise Architecture Approach: Case of Global Pharmaceutical Enterprise</x:v>
      </x:c>
      <x:c r="F120" s="14" t="str">
        <x:v>Tetsuro Miyake, Akiko Oguchi, Atsushi Ishida, Yoshimasa Masuda</x:v>
      </x:c>
      <x:c r="G120" s="14" t="str">
        <x:v>Springer (Innovation in Medicine and Healthcare)</x:v>
      </x:c>
      <x:c r="H120" s="14" t="str">
        <x:v>Security / governance / risk</x:v>
      </x:c>
      <x:c r="I120" s="14" t="str">
        <x:v>https://link.springer.com/chapter/10.1007/978-981-99-3311-2_9</x:v>
      </x:c>
      <x:c r="J120" s="14" t="str"/>
      <x:c r="K120" s="14" t="str">
        <x:v>Original URL only; not re-verified in this expansion pass</x:v>
      </x:c>
      <x:c r="L120" s="14" t="str">
        <x:v>previous old papers(3).xlsx</x:v>
      </x:c>
      <x:c r="M120" s="14" t="n">
        <x:v>100</x:v>
      </x:c>
      <x:c r="N120" s="14" t="n">
        <x:v>95</x:v>
      </x:c>
      <x:c r="O120" s="14" t="str">
        <x:v>Miyake, T., et al. (2023). Strategic Risk Management for Low-Code Development Platforms. Innovation in Medicine and Healthcare.</x:v>
      </x:c>
      <x:c r="P120" s="14" t="str"/>
      <x:c r="Q120" s="14" t="n">
        <x:v>40</x:v>
      </x:c>
      <x:c r="R120" s="14" t="str">
        <x:v>Low-Code, Risk Management, Enterprise Architecture (EA), Pharmaceutical Industry, Shadow IT, Governance</x:v>
      </x:c>
      <x:c r="S120" s="14" t="str">
        <x:v>Global Pharmaceutical Enterprises (GPEs) have increasingly adopted and promoted Low-Code Development Platforms (LCDPs) to aim for higher agility and resilience to the rapidly changing market demands. While LCDPs facilitate rapid application development by democratising application development platforms to non-professional developers (“citizen developers”), these organisations are challenged to establish strategic conformance with Low-Code applications regarding interoperability, scalability, security, and vendor lock-in. Since these LCDP challenges relate to the organisation’s enterprise strategy, the organisations should implement mitigations at the strategic level where Enterprise Architecture frameworks play an important role. This paper investigates how the LCDP challenges can be managed with the “Adaptive Integrated Digital Architecture Framework (AIDAF) with Design Thinking Approach.” A case project in a GPE verified that the AIDAF with Design Thinking Approach successfully supported managing a Low-Code application project and achieved strategic conformance with the developed Low-Code application. In addition, challenges and future issues for this research area are presented.</x:v>
      </x:c>
    </x:row>
    <x:row r="121" ht="64" customHeight="1">
      <x:c r="A121" s="14" t="n">
        <x:v>120</x:v>
      </x:c>
      <x:c r="B121" s="14" t="str">
        <x:v>Original supplied record</x:v>
      </x:c>
      <x:c r="C121" s="14" t="str">
        <x:v>Screened out after title/abstract/quality screen</x:v>
      </x:c>
      <x:c r="D121" s="14" t="n">
        <x:v>2024</x:v>
      </x:c>
      <x:c r="E121" s="14" t="str">
        <x:v>Empowering Innovation: How Low-Code and No-Code are
Changing the Tech Landscape</x:v>
      </x:c>
      <x:c r="F121" s="14" t="str">
        <x:v>Abhivruddhi Contributors (Specific author not listed in link context, attributed to Journal)</x:v>
      </x:c>
      <x:c r="G121" s="14" t="str">
        <x:v>Abhivruddhi Journal (MIT University, India)</x:v>
      </x:c>
      <x:c r="H121" s="14" t="str">
        <x:v>Security / governance / risk</x:v>
      </x:c>
      <x:c r="I121" s="14" t="str">
        <x:v>https://abhivruddhi.mituniversity.ac.in/assets/pdf/Abhivruddhi%20Journal%2076%20Single%20papers/33.%20Empowering%20Innovation%20How%20Low-Code%20and%20No-Code%20are.pdf</x:v>
      </x:c>
      <x:c r="J121" s="14" t="str"/>
      <x:c r="K121" s="14" t="str">
        <x:v>Original URL only; not re-verified in this expansion pass</x:v>
      </x:c>
      <x:c r="L121" s="14" t="str">
        <x:v>previous old papers(3).xlsx</x:v>
      </x:c>
      <x:c r="M121" s="14" t="n">
        <x:v>101</x:v>
      </x:c>
      <x:c r="N121" s="14" t="n">
        <x:v>96</x:v>
      </x:c>
      <x:c r="O121" s="14" t="str">
        <x:v>Abhivruddhi Journal. (2024). Empowering Innovation: How Low-Code and No-Code are Changing the Tech Landscape.</x:v>
      </x:c>
      <x:c r="P121" s="14" t="str"/>
      <x:c r="Q121" s="14" t="n">
        <x:v>40</x:v>
      </x:c>
      <x:c r="R121" s="14" t="str">
        <x:v>Innovation, Tech Landscape, Startups, MVP, Agility, Digital India</x:v>
      </x:c>
      <x:c r="S121" s="14" t="str">
        <x:v>In the midst of the huge growth of the large
number of companies spending millions in the digital evolution
for business stability, especially after the crucial time of
COVID-19 crisis, Low Code-No Code (LCNC) platforms gain
an unexpectedly huge momentum to reduce the extensive
development cycles in order to build new applications that
would help meet business requirements. The modernization and
digitization of technology is rapidly growing at a remarkable
rate, however, there lies a vast gap between the requirement and
recruitment of skilled professionals. The scarcity of proficient
developers poses a significant obstacle to the rapid pace of
application development projected in the coming years.
Estimates from the Institutional Development Cell suggest that
over the next few years, the industry could witness the creation
of more than 500 million apps, further exacerbating the
demand-supply gap in skilled talent.
In application development, technology is the new paradigm
which reduces or eradicates the necessity for coding. This survey
paper analyses the current state of LCNC and its upcoming
potential in multiple industries primarily in technology,
healthcare, academia and manufacturing. It presents the
popular existing LCNC platforms and emerging concepts
capable of automating businesses, providing seamless customer
experiences, and better workflow integration, among others.
Studies indicate that the demand for app development services
is poised to surge significantly faster than the IT industry's
capacity to meet it. Consequently, there's a looming risk of IT
projects facing prolonged delays or even being shelved due to
resource constraints.</x:v>
      </x:c>
    </x:row>
    <x:row r="122" ht="64" customHeight="1">
      <x:c r="A122" s="14" t="n">
        <x:v>121</x:v>
      </x:c>
      <x:c r="B122" s="14" t="str">
        <x:v>Original supplied record</x:v>
      </x:c>
      <x:c r="C122" s="14" t="str">
        <x:v>Duplicate/low-fit flagged</x:v>
      </x:c>
      <x:c r="D122" s="14" t="n">
        <x:v>2024</x:v>
      </x:c>
      <x:c r="E122" s="14" t="str">
        <x:v>Potentials and Risks of the Low-Code Development: A Systematic Literature Review</x:v>
      </x:c>
      <x:c r="F122" s="14" t="str">
        <x:v>Stefan Trieflinger, Dimitri Petrik, Ebru Polat, Bastian Roling</x:v>
      </x:c>
      <x:c r="G122" s="14" t="str">
        <x:v>Springer (Herman Hollerith Conference)</x:v>
      </x:c>
      <x:c r="H122" s="14" t="str">
        <x:v>Risks / SLR</x:v>
      </x:c>
      <x:c r="I122" s="14" t="str">
        <x:v>https://link.springer.com/chapter/10.1007/978-3-658-48215-2_8</x:v>
      </x:c>
      <x:c r="J122" s="14" t="str">
        <x:v>https://link.springer.com/content/pdf/10.1007/978-3-658-48215-2_8.pdf</x:v>
      </x:c>
      <x:c r="K122" s="14" t="str">
        <x:v>Publisher PDF link</x:v>
      </x:c>
      <x:c r="L122" s="14" t="str">
        <x:v>previous old papers(3).xlsx</x:v>
      </x:c>
      <x:c r="M122" s="14" t="n">
        <x:v>102</x:v>
      </x:c>
      <x:c r="N122" s="14" t="n">
        <x:v>97</x:v>
      </x:c>
      <x:c r="O122" s="14" t="str">
        <x:v>Trieflinger, S., Petrik, D., Polat, E., &amp; Roling, B. (2024). Potentials and Risks of the Low-Code Development. Herman Hollerith Conference.</x:v>
      </x:c>
      <x:c r="P122" s="14" t="str">
        <x:v>Duplicate or near-duplicate title inside the supplied corpus.</x:v>
      </x:c>
      <x:c r="Q122" s="14" t="n">
        <x:v>20</x:v>
      </x:c>
      <x:c r="R122" s="14" t="str">
        <x:v>Low-Code, Systematic Literature Review, Potentials, Risks, Shadow IT, Governance</x:v>
      </x:c>
      <x:c r="S122" s="14" t="str">
        <x:v>Low-code development and deployment have become increasingly popular in recent years and is now used by many organizations. By providing a simple and user-friendly interface for creating source code, these low-code can significantly reduce the time and cost of developing digital applications. With low-code, software applications can be implemented quickly without requiring in-depth programming skills. This democratization of software development presents significant opportunities but also introduces risks, creating a trade-off for IT governance. This paper aims to examine this trade-off by conducting a systematic literature review of the growing body of literature, specifically focusing on the challenges and potentials of low-code adoption. The results include an overview of the reported challenges and potentials. They can be used in practice by organizations weighing the pros and cons of low-code implementation and governance. Furthermore, the results provide a basis for formulating a research agenda at the organizational level.</x:v>
      </x:c>
    </x:row>
    <x:row r="123" ht="64" customHeight="1">
      <x:c r="A123" s="14" t="n">
        <x:v>122</x:v>
      </x:c>
      <x:c r="B123" s="14" t="str">
        <x:v>Original supplied record</x:v>
      </x:c>
      <x:c r="C123" s="14" t="str">
        <x:v>Screened out after title/abstract/quality screen</x:v>
      </x:c>
      <x:c r="D123" s="14" t="n">
        <x:v>2024</x:v>
      </x:c>
      <x:c r="E123" s="14" t="str">
        <x:v>LOW-CODE PLATFORMS IN SOFTWARE AND
DATA DEVELOPMENT</x:v>
      </x:c>
      <x:c r="F123" s="14" t="str">
        <x:v>Mikko Saarinen</x:v>
      </x:c>
      <x:c r="G123" s="14" t="str">
        <x:v>Tampere University (Master's Thesis)</x:v>
      </x:c>
      <x:c r="H123" s="14" t="str">
        <x:v>Adoption / citizen development</x:v>
      </x:c>
      <x:c r="I123" s="14" t="str">
        <x:v>https://trepo.tuni.fi/bitstream/handle/10024/157011/SaarinenMikko.pdf?sequence=2</x:v>
      </x:c>
      <x:c r="J123" s="14" t="str"/>
      <x:c r="K123" s="14" t="str">
        <x:v>Original URL only; not re-verified in this expansion pass</x:v>
      </x:c>
      <x:c r="L123" s="14" t="str">
        <x:v>previous old papers(3).xlsx</x:v>
      </x:c>
      <x:c r="M123" s="14" t="n">
        <x:v>103</x:v>
      </x:c>
      <x:c r="N123" s="14" t="n">
        <x:v>98</x:v>
      </x:c>
      <x:c r="O123" s="14" t="str">
        <x:v>Saarinen, M. (2024). LOW-CODE PLATFORMS IN SOFTWARE AND DATA DEVELOPMENT. Tampere University.</x:v>
      </x:c>
      <x:c r="P123" s="14" t="str"/>
      <x:c r="Q123" s="14" t="n">
        <x:v>40</x:v>
      </x:c>
      <x:c r="R123" s="14" t="str">
        <x:v>Low-code, Software Development, Data Development, Citizen Developer, Mendix, Power Platform</x:v>
      </x:c>
      <x:c r="S123" s="14" t="str">
        <x:v>Previous research on low-code development has focused on technical matters, or how people
experience the technicalities. This is slowly starting to change, and more research is done on the
governance and other management related aspects.
In this thesis, low-code development is approached from two angles; expectations towards
it and traditional code centric software development. Through interviews qualitative differences
between low-code and code based development can be noticed. The most important finding is
that development work on a low-code platform that is optimized for professional software development brings up a positive problem: increased speed of development demands more resources for
supportive functions such as requirements engineering and testing.
Keywords: low-code development platform, low-code, software development
The originality of this thesis has been checked using the Turnitin OriginalityCheck service.</x:v>
      </x:c>
    </x:row>
    <x:row r="124" ht="64" customHeight="1">
      <x:c r="A124" s="14" t="n">
        <x:v>123</x:v>
      </x:c>
      <x:c r="B124" s="14" t="str">
        <x:v>Original supplied record</x:v>
      </x:c>
      <x:c r="C124" s="14" t="str">
        <x:v>Final Top 50</x:v>
      </x:c>
      <x:c r="D124" s="14" t="n">
        <x:v>2025</x:v>
      </x:c>
      <x:c r="E124" s="14" t="str">
        <x:v>Addressing Skills Shortages through Low-Code/No-Code: Skill Profiles and Implementation Challenges</x:v>
      </x:c>
      <x:c r="F124" s="14" t="str">
        <x:v>Paul Rozbitski, Christian Leyh, Ching-Ho Ip</x:v>
      </x:c>
      <x:c r="G124" s="14" t="str">
        <x:v>IEEE (Annals of Computer Science and Information Systems)</x:v>
      </x:c>
      <x:c r="H124" s="14" t="str">
        <x:v>Skill profiles</x:v>
      </x:c>
      <x:c r="I124" s="14" t="str">
        <x:v>https://annals-csis.org/Volume_43/drp/3612.html</x:v>
      </x:c>
      <x:c r="J124" s="14" t="str">
        <x:v>https://annals-csis.org/Volume_43/drp/pdf/3612.pdf</x:v>
      </x:c>
      <x:c r="K124" s="14" t="str">
        <x:v>Open-access conference PDF</x:v>
      </x:c>
      <x:c r="L124" s="14" t="str">
        <x:v>previous old papers(3).xlsx</x:v>
      </x:c>
      <x:c r="M124" s="14" t="n">
        <x:v>104</x:v>
      </x:c>
      <x:c r="N124" s="14" t="n">
        <x:v>99</x:v>
      </x:c>
      <x:c r="O124" s="14" t="str">
        <x:v>Rozbitski, P., Leyh, C., &amp; Ip, C. (2025). Addressing Skills Shortages through Low-Code/No-Code. Annals of Computer Science and Information Systems, 43.</x:v>
      </x:c>
      <x:c r="P124" s="14" t="str">
        <x:v>Recent 2025 paper on skills and implementation challenges; useful for workforce implications.</x:v>
      </x:c>
      <x:c r="Q124" s="14" t="n">
        <x:v>84</x:v>
      </x:c>
      <x:c r="R124" s="14" t="str">
        <x:v>Low-Code, No-Code, Skills Shortage, Citizen Developer, Digital Transformation, Competence Profiles</x:v>
      </x:c>
      <x:c r="S124" s="14" t="str">
        <x:v>Low-code/no-code (LCNC) platforms promise low-barrier access to software development, increased efficiency, and programming with little to no code. This paper explores whether it is really possible to create software without writing code and with little programming knowledge. Using a systematic literature analysis, we lay a foundation for future research on the skills needed by citizen developers using LCNC tools in corporate and public-sector contexts. Our analysis of 58 articles identifies three key skill categories: hard skills, such as programming and working with APIs; soft skills, such as communication and collaboration; and domain-specific knowledge. However, challenges exist in the upskilling process. Additionally, generative AI (GenAI) shows potential to expand LCNC capabilities. Nevertheless, the intersection of LCNC and public-sector transformation remains underexplored, highlighting the need for deeper studies focused on sector-specific challenges, use cases, and long-term adoption.</x:v>
      </x:c>
    </x:row>
    <x:row r="125" ht="64" customHeight="1">
      <x:c r="A125" s="14" t="n">
        <x:v>124</x:v>
      </x:c>
      <x:c r="B125" s="14" t="str">
        <x:v>Original supplied record</x:v>
      </x:c>
      <x:c r="C125" s="14" t="str">
        <x:v>Screened out after title/abstract/quality screen</x:v>
      </x:c>
      <x:c r="D125" s="14" t="n">
        <x:v>2023</x:v>
      </x:c>
      <x:c r="E125" s="14" t="str">
        <x:v>COMPARATIVE ANALYSIS OF API INTEGRATION
USING CODE VS NO-CODE/LOW-CODE
PLATFORMS</x:v>
      </x:c>
      <x:c r="F125" s="14" t="str">
        <x:v>Navya Yadav, Anupriya Kaur, Rakesh Kanji</x:v>
      </x:c>
      <x:c r="G125" s="14" t="str">
        <x:v>Jaypee University of Information Technology (B.Tech Project Report)</x:v>
      </x:c>
      <x:c r="H125" s="14" t="str">
        <x:v>General LCNC</x:v>
      </x:c>
      <x:c r="I125" s="14" t="str">
        <x:v>http://www.ir.juit.ac.in:8080/jspui/bitstream/123456789/9849/1/Comparative%20Analysis%20of%20API%20Integration%20using%20Code%20Vs%20No-code%2c%20low-code%20Platforms.pdf</x:v>
      </x:c>
      <x:c r="J125" s="14" t="str"/>
      <x:c r="K125" s="14" t="str">
        <x:v>Original URL only; not re-verified in this expansion pass</x:v>
      </x:c>
      <x:c r="L125" s="14" t="str">
        <x:v>previous old papers(3).xlsx</x:v>
      </x:c>
      <x:c r="M125" s="14" t="n">
        <x:v>105</x:v>
      </x:c>
      <x:c r="N125" s="14" t="n">
        <x:v>100</x:v>
      </x:c>
      <x:c r="O125" s="14" t="str">
        <x:v>Yadav, N., Kaur, A., &amp; Kanji, R. (2023). COMPARATIVE ANALYSIS OF API INTEGRATION USING CODE VS NO-CODE/LOW-CODE PLATFORMS. JUIT.</x:v>
      </x:c>
      <x:c r="P125" s="14" t="str"/>
      <x:c r="Q125" s="14" t="n">
        <x:v>40</x:v>
      </x:c>
      <x:c r="R125" s="14" t="str">
        <x:v>API Integration, Low-Code, No-Code, Postman, Rest API, Automation, Comparison</x:v>
      </x:c>
      <x:c r="S125" s="14" t="str">
        <x:v>This comparison investigates the distinctions between traditional coding
methodologies and no-code/low-code platforms for API integration. The study
looks at the advantages and disadvantages of each technique, such as development
speed, simplicity of use, scalability, and adaptability. The findings indicate that
no-code/low-code platforms provide considerable benefits in terms of speedier
development timelines and ease of use, particularly for non-technical users.
Traditional coding methods, on the other hand, are more adaptable and can
manage more complex integrations. Finally, whether to use code or
no-code/low-code platforms will be determined by the project's specific demands
and the development team's skill set.
APIs (Application Programming Interfaces) are essential in modern software
development. APIs enable separate programmes to connect with one another,
allowing developers to build complex systems with a wide range of functionality.
APIs have traditionally been connected into applications through coding
approaches, which require developers to write bespoke code to connect the
various platforms. The rise of no-code/low-code platforms, on the other hand, has
created an alternate approach to API integration, allowing non-technical users to
link disparate systems without writing any code.
This comparison investigates the distinctions between traditional coding
methodologies and no-code/low-code platforms for API integration. The study
looks at the advantages and disadvantages of each technique, such as development
speed, simplicity of use, scalability, and adaptability</x:v>
      </x:c>
    </x:row>
    <x:row r="126" ht="64" customHeight="1">
      <x:c r="A126" s="14" t="n">
        <x:v>125</x:v>
      </x:c>
      <x:c r="B126" s="14" t="str">
        <x:v>Original supplied record</x:v>
      </x:c>
      <x:c r="C126" s="14" t="str">
        <x:v>Screened out after title/abstract/quality screen</x:v>
      </x:c>
      <x:c r="D126" s="14" t="n">
        <x:v>2023</x:v>
      </x:c>
      <x:c r="E126" s="14" t="str">
        <x:v>Adopting Low - Code Platforms for Data Pipeline
Development in Cloud Environments</x:v>
      </x:c>
      <x:c r="F126" s="14" t="str">
        <x:v>Chandrakanth Lekkala</x:v>
      </x:c>
      <x:c r="G126" s="14" t="str">
        <x:v>International Journal of Science and Research (IJSR) / SSRN</x:v>
      </x:c>
      <x:c r="H126" s="14" t="str">
        <x:v>Security / governance / risk</x:v>
      </x:c>
      <x:c r="I126" s="14" t="str">
        <x:v>https://download.ssrn.com/2024/7/28/4908410.pdf?response-content-disposition=inline&amp;X-Amz-Security-Token=IQoJb3JpZ2luX2VjEG4aCXVzLWVhc3QtMSJHMEUCIQDMY%2FbrlvgoAAdW892mYb3nhkRpXLX%2FSCFAWTVjar51MgIgR811bLhFEFR6fNOqRNq9F6vytqufBBy26q%2BBz5r7bWkqvQUINxAEGgwzMDg0NzUzMDEyNTciDDA6SBFvMfS0OEKvQCqaBQ6zVQQqwI9p7Da0JQfcTsjUqX0vUlZGg55hDPjcHi4mm9SoQrvzAm9qSc5hFGex5t8thJGVnTtGfklTnW4Ac9Oo04YKRiZckmipBbUiU0MITG7XEiB%2BSyCtcGJ3O%2BriEpXhQCMycDv0a8EwuGowfPSDPKMJUwgSvPeHNpxkdtWD0AB4EWbHMTcwwFkQmOjMtekuebrmW7Rw7fIyv%2B0IOFTD7QAN%2BzPzan%2BI5WvGVtKwfzN1PGzHmqr3VOo2R8IyQ7vJC0QxhxU0FlQIV42pZjVcSaAktJl7QFh8buyStUWMwXzemtf5mCbDYS%2F5X6wHRLgyRdWozcTRKUWSkmuKlQAUuJntZBpPMU%2BBKpkUAEFEhuaMCoDblo8SttlKbzD8mEiPkg8g3oUgquNHb%2BrzGvfa6nzm%2FVCnE8jqSaXD9U%2BqYIrjROLa8kf4x2b8st6nYgx3yGIREbkLu9iztlWLrokCUyh1dhjTyZbi0%2FndGCYeWZOEMmZWaxYIdmUtWzXBV3wCuUpcpmCaH%2BtLZoKY9eUsSyDWINZPwbF4NUfpNPoNVnahChas6AwD%2FO%2Fdb9qJhtiE7VNjPmO5n4kXSTJkNy4CP3Jf4yuQHWhtyIRAqYutGv4gd1jYOl%2F5p24448gNVm63Ug%2Bcbx2vIF2gbmUGPDGHv%2BuQjAjOWqCbqZD0cEAB1obse%2BPRs90tLST12qTN99UOf8h7dalGujF7GG%2F81susEwV8dcoHugTT%2B1VOXsse3UAgPMdqLtWpX8aOejNJXfY0kqGBvPOE%2FyevOhCvP68ljYx9y6uulxozozPxZ6Dm7my4up5suYGloDyGIHVRm%2FHKqGYnfA5IhnTZJA2Wfn5Fvl%2FN3U4Mx%2BU33mf1qy80C80ApK85s7fIWjC5%2FtvLBjqxAbK1uaqPe41wM%2BU9zrTVfG%2BdEaAfUIO0aQ1MWPF56ySh7BbUFeRp7hB2GRHqrgWuW5x4LB1SmDpKOm2engbEgSuwVvf1s4hfih6Ym1zfiNz%2BncQANqQX2zp%2B0bE2nXIjDTifc2I09Gu8xvIhlEuz3f95H6PRm72VHFwPHRi0Qtyr9f%2FYHi5n6CsJy7k7EkSpHpBzP6oUmah2tkkKufSPQF9%2FY%2FdxVh2Yrff7MUhbfOiNbw%3D%3D&amp;X-Amz-Algorithm=AWS4-HMAC-SHA256&amp;X-Amz-Date=20260126T064600Z&amp;X-Amz-SignedHeaders=host&amp;X-Amz-Expires=300&amp;X-Amz-Credential=ASIAUPUUPRWEYLOFEAB4%2F20260126%2Fus-east-1%2Fs3%2Faws4_request&amp;X-Amz-Signature=d5967da84d553cdc090ffbe4913a032f40292472ee1529a76f7ec5e8144fd887&amp;abstractId=4908410</x:v>
      </x:c>
      <x:c r="J126" s="14" t="str"/>
      <x:c r="K126" s="14" t="str">
        <x:v>Original URL only; not re-verified in this expansion pass</x:v>
      </x:c>
      <x:c r="L126" s="14" t="str">
        <x:v>previous old papers(3).xlsx</x:v>
      </x:c>
      <x:c r="M126" s="14" t="n">
        <x:v>106</x:v>
      </x:c>
      <x:c r="N126" s="14" t="n">
        <x:v>101</x:v>
      </x:c>
      <x:c r="O126" s="14" t="str">
        <x:v>Lekkala, C. (2023). Adopting Low - Code Platforms for Data Pipeline Development in Cloud Environments. IJSR, 12(2), 1730-1736.</x:v>
      </x:c>
      <x:c r="P126" s="14" t="str"/>
      <x:c r="Q126" s="14" t="n">
        <x:v>40</x:v>
      </x:c>
      <x:c r="R126" s="14" t="str">
        <x:v>Low-Code, Data Pipeline, Cloud Computing, Data Integration, ETL, Azure Data Factory</x:v>
      </x:c>
      <x:c r="S126" s="14" t="str">
        <x:v>The data explosion and the complexity of data integration in cloud settings have brought quite complex challenges to organizations. Typical data pipeline construction is often done manually, making the process time-consuming, skilled labour-intensive, and prone to errors. Low-code platforms have proven to be a transformative solution to deal with these challenges, as they enable faster development with fewer errors and more broadly encompass data integration abilities. The article scrutinizes low-code platforms under the provision of cloud environments and as a means of building and controlling data pipelines. It analyses the means through which these platforms can bring about faster development, facilitate data integration, and reduce the obstacles to access these platforms may pose to organizations. The article highlights the main characteristics of low code, including visual interface, already-built integrators, automated testing and deployment, and expandability. It can demonstrate real-world scenarios of deployment of a low-code platform by a wide range of industries, and it can identify the risks and concerns along the way. Additionally, this article provides recommendations to organizations that want to use low-code platforms in data pipeline building, and it lays out potential future studies in this area. With the adoption of low-code platforms, organizations can unleash the power of data assets, thus providing agility and a competitive edge for the organization in the time of big data and cloud computing era.</x:v>
      </x:c>
    </x:row>
    <x:row r="127" ht="64" customHeight="1">
      <x:c r="A127" s="14" t="n">
        <x:v>126</x:v>
      </x:c>
      <x:c r="B127" s="14" t="str">
        <x:v>New web-search addition</x:v>
      </x:c>
      <x:c r="C127" s="14" t="str">
        <x:v>Final Top 50</x:v>
      </x:c>
      <x:c r="D127" s="14" t="n">
        <x:v>2025</x:v>
      </x:c>
      <x:c r="E127" s="14" t="str">
        <x:v>AIAP: A No-Code Workflow Builder for Non-Experts with Natural Language and Multi-Agent Collaboration</x:v>
      </x:c>
      <x:c r="F127" s="14" t="str">
        <x:v>Hyunjn An; Yongwon Kim; Wonduk Seo; Joonil Park; Daye Kang; Changhoon Oh; Dokyun Kim; Seunghyun Lee</x:v>
      </x:c>
      <x:c r="G127" s="14" t="str">
        <x:v>arXiv / OpenReview preprint</x:v>
      </x:c>
      <x:c r="H127" s="14" t="str">
        <x:v>No-code AI workflow builders</x:v>
      </x:c>
      <x:c r="I127" s="14" t="str">
        <x:v>https://arxiv.org/abs/2508.02470</x:v>
      </x:c>
      <x:c r="J127" s="14" t="str">
        <x:v>https://arxiv.org/pdf/2508.02470</x:v>
      </x:c>
      <x:c r="K127" s="14" t="str">
        <x:v>Direct arXiv PDF</x:v>
      </x:c>
      <x:c r="L127" s="14" t="str">
        <x:v>Web search expansion, 2026-06-12</x:v>
      </x:c>
      <x:c r="M127" s="14" t="str"/>
      <x:c r="N127" s="14" t="str"/>
      <x:c r="O127" s="14" t="str">
        <x:v>arXiv:2508.02470</x:v>
      </x:c>
      <x:c r="P127" s="14" t="str">
        <x:v>New addition; natural-language + visual workflow no-code AI platform with user study.</x:v>
      </x:c>
      <x:c r="Q127" s="14" t="n">
        <x:v>80</x:v>
      </x:c>
      <x:c r="R127" s="14" t="str"/>
      <x:c r="S127" s="14" t="str"/>
    </x:row>
    <x:row r="128" ht="64" customHeight="1">
      <x:c r="A128" s="14" t="n">
        <x:v>127</x:v>
      </x:c>
      <x:c r="B128" s="14" t="str">
        <x:v>New web-search addition</x:v>
      </x:c>
      <x:c r="C128" s="14" t="str">
        <x:v>Final Top 50</x:v>
      </x:c>
      <x:c r="D128" s="14" t="n">
        <x:v>2024</x:v>
      </x:c>
      <x:c r="E128" s="14" t="str">
        <x:v>AutoGen Studio: A No-Code Developer Tool for Building and Debugging Multi-Agent Systems</x:v>
      </x:c>
      <x:c r="F128" s="14" t="str">
        <x:v>Adam Fourney; Gagan Bansal; Hussein Mozannar; Cheng Tan; Eduardo Salinas; Erkang Zhu; Friederike Niedtner; Grace Proebsting; Griffin Bassman; Jack Gerrits; Jacob Alber; Peter Chang; Ricky Loynd; Robert West; Victor Dibia; Ahmed Awadallah; Saleema Amershi</x:v>
      </x:c>
      <x:c r="G128" s="14" t="str">
        <x:v>EMNLP 2024 System Demonstrations / ACL Anthology</x:v>
      </x:c>
      <x:c r="H128" s="14" t="str">
        <x:v>No-code multi-agent systems</x:v>
      </x:c>
      <x:c r="I128" s="14" t="str">
        <x:v>https://aclanthology.org/2024.emnlp-demo.8/</x:v>
      </x:c>
      <x:c r="J128" s="14" t="str">
        <x:v>https://aclanthology.org/2024.emnlp-demo.8.pdf</x:v>
      </x:c>
      <x:c r="K128" s="14" t="str">
        <x:v>Direct ACL Anthology PDF</x:v>
      </x:c>
      <x:c r="L128" s="14" t="str">
        <x:v>Web search expansion, 2026-06-12</x:v>
      </x:c>
      <x:c r="M128" s="14" t="str"/>
      <x:c r="N128" s="14" t="str"/>
      <x:c r="O128" s="14" t="str">
        <x:v>ACL Anthology 2024.emnlp-demo.8</x:v>
      </x:c>
      <x:c r="P128" s="14" t="str">
        <x:v>New addition; peer-reviewed demo paper with direct full text.</x:v>
      </x:c>
      <x:c r="Q128" s="14" t="n">
        <x:v>80</x:v>
      </x:c>
      <x:c r="R128" s="14" t="str"/>
      <x:c r="S128" s="14" t="str"/>
    </x:row>
    <x:row r="129" ht="64" customHeight="1">
      <x:c r="A129" s="14" t="n">
        <x:v>128</x:v>
      </x:c>
      <x:c r="B129" s="14" t="str">
        <x:v>New web-search addition</x:v>
      </x:c>
      <x:c r="C129" s="14" t="str">
        <x:v>Final Top 50</x:v>
      </x:c>
      <x:c r="D129" s="14" t="n">
        <x:v>2025</x:v>
      </x:c>
      <x:c r="E129" s="14" t="str">
        <x:v>asanAI: In-Browser, No-Code, Offline-First Machine Learning Toolkit</x:v>
      </x:c>
      <x:c r="F129" s="14" t="str">
        <x:v>Archit Mundra; Alex Kaspar</x:v>
      </x:c>
      <x:c r="G129" s="14" t="str">
        <x:v>arXiv</x:v>
      </x:c>
      <x:c r="H129" s="14" t="str">
        <x:v>No-code machine learning tools</x:v>
      </x:c>
      <x:c r="I129" s="14" t="str">
        <x:v>https://arxiv.org/abs/2501.06226</x:v>
      </x:c>
      <x:c r="J129" s="14" t="str">
        <x:v>https://arxiv.org/pdf/2501.06226</x:v>
      </x:c>
      <x:c r="K129" s="14" t="str">
        <x:v>Direct arXiv PDF</x:v>
      </x:c>
      <x:c r="L129" s="14" t="str">
        <x:v>Web search expansion, 2026-06-12</x:v>
      </x:c>
      <x:c r="M129" s="14" t="str"/>
      <x:c r="N129" s="14" t="str"/>
      <x:c r="O129" s="14" t="str">
        <x:v>arXiv:2501.06226</x:v>
      </x:c>
      <x:c r="P129" s="14" t="str">
        <x:v>New addition; no-code ML toolkit emphasizing offline/browser-based accessibility.</x:v>
      </x:c>
      <x:c r="Q129" s="14" t="n">
        <x:v>80</x:v>
      </x:c>
      <x:c r="R129" s="14" t="str"/>
      <x:c r="S129" s="14" t="str"/>
    </x:row>
    <x:row r="130" ht="64" customHeight="1">
      <x:c r="A130" s="14" t="n">
        <x:v>129</x:v>
      </x:c>
      <x:c r="B130" s="14" t="str">
        <x:v>New web-search addition</x:v>
      </x:c>
      <x:c r="C130" s="14" t="str">
        <x:v>Final Top 50</x:v>
      </x:c>
      <x:c r="D130" s="14" t="n">
        <x:v>2025</x:v>
      </x:c>
      <x:c r="E130" s="14" t="str">
        <x:v>Dash: A Low Code Development Platform for AI Applications in Industry</x:v>
      </x:c>
      <x:c r="F130" s="14" t="str">
        <x:v>Yifan Wang; Weijia Song; Yuting Yang; Charif Mahmoudi; Shashank Shekhar; Kenneth P. Birman</x:v>
      </x:c>
      <x:c r="G130" s="14" t="str">
        <x:v>arXiv / IEEE UEMCON version</x:v>
      </x:c>
      <x:c r="H130" s="14" t="str">
        <x:v>Low-code AI applications in industry</x:v>
      </x:c>
      <x:c r="I130" s="14" t="str">
        <x:v>https://arxiv.org/abs/2505.21419</x:v>
      </x:c>
      <x:c r="J130" s="14" t="str">
        <x:v>https://arxiv.org/pdf/2505.21419</x:v>
      </x:c>
      <x:c r="K130" s="14" t="str">
        <x:v>Direct arXiv PDF</x:v>
      </x:c>
      <x:c r="L130" s="14" t="str">
        <x:v>Web search expansion, 2026-06-12</x:v>
      </x:c>
      <x:c r="M130" s="14" t="str"/>
      <x:c r="N130" s="14" t="str"/>
      <x:c r="O130" s="14" t="str">
        <x:v>arXiv:2505.21419</x:v>
      </x:c>
      <x:c r="P130" s="14" t="str">
        <x:v>New addition; industrial AI application platform.</x:v>
      </x:c>
      <x:c r="Q130" s="14" t="n">
        <x:v>80</x:v>
      </x:c>
      <x:c r="R130" s="14" t="str"/>
      <x:c r="S130" s="14" t="str"/>
    </x:row>
    <x:row r="131" ht="64" customHeight="1">
      <x:c r="A131" s="14" t="n">
        <x:v>130</x:v>
      </x:c>
      <x:c r="B131" s="14" t="str">
        <x:v>New web-search addition</x:v>
      </x:c>
      <x:c r="C131" s="14" t="str">
        <x:v>Final Top 50</x:v>
      </x:c>
      <x:c r="D131" s="14" t="n">
        <x:v>2025</x:v>
      </x:c>
      <x:c r="E131" s="14" t="str">
        <x:v>Memory Management and Contextual Consistency for Long-Running Low-Code Agents</x:v>
      </x:c>
      <x:c r="F131" s="14" t="str">
        <x:v>Jiexi Xu</x:v>
      </x:c>
      <x:c r="G131" s="14" t="str">
        <x:v>arXiv</x:v>
      </x:c>
      <x:c r="H131" s="14" t="str">
        <x:v>Low-code AI agents reliability</x:v>
      </x:c>
      <x:c r="I131" s="14" t="str">
        <x:v>https://arxiv.org/abs/2509.25250</x:v>
      </x:c>
      <x:c r="J131" s="14" t="str">
        <x:v>https://arxiv.org/pdf/2509.25250</x:v>
      </x:c>
      <x:c r="K131" s="14" t="str">
        <x:v>Direct arXiv PDF</x:v>
      </x:c>
      <x:c r="L131" s="14" t="str">
        <x:v>Web search expansion, 2026-06-12</x:v>
      </x:c>
      <x:c r="M131" s="14" t="str"/>
      <x:c r="N131" s="14" t="str"/>
      <x:c r="O131" s="14" t="str">
        <x:v>arXiv:2509.25250</x:v>
      </x:c>
      <x:c r="P131" s="14" t="str">
        <x:v>New addition; focuses on memory, consistency and reliability in LCNC agents.</x:v>
      </x:c>
      <x:c r="Q131" s="14" t="n">
        <x:v>80</x:v>
      </x:c>
      <x:c r="R131" s="14" t="str"/>
      <x:c r="S131" s="14" t="str"/>
    </x:row>
    <x:row r="132" ht="64" customHeight="1">
      <x:c r="A132" s="14" t="n">
        <x:v>131</x:v>
      </x:c>
      <x:c r="B132" s="14" t="str">
        <x:v>New web-search addition</x:v>
      </x:c>
      <x:c r="C132" s="14" t="str">
        <x:v>Final Top 50</x:v>
      </x:c>
      <x:c r="D132" s="14" t="n">
        <x:v>2025</x:v>
      </x:c>
      <x:c r="E132" s="14" t="str">
        <x:v>Agentic Metacognition: Designing a Self-Aware Low-Code Agent for Failure Prediction and Human Handoff</x:v>
      </x:c>
      <x:c r="F132" s="14" t="str">
        <x:v>Jiexi Xu</x:v>
      </x:c>
      <x:c r="G132" s="14" t="str">
        <x:v>arXiv</x:v>
      </x:c>
      <x:c r="H132" s="14" t="str">
        <x:v>Low-code AI agents reliability</x:v>
      </x:c>
      <x:c r="I132" s="14" t="str">
        <x:v>https://arxiv.org/abs/2509.19783</x:v>
      </x:c>
      <x:c r="J132" s="14" t="str">
        <x:v>https://arxiv.org/pdf/2509.19783</x:v>
      </x:c>
      <x:c r="K132" s="14" t="str">
        <x:v>Direct arXiv PDF</x:v>
      </x:c>
      <x:c r="L132" s="14" t="str">
        <x:v>Web search expansion, 2026-06-12</x:v>
      </x:c>
      <x:c r="M132" s="14" t="str"/>
      <x:c r="N132" s="14" t="str"/>
      <x:c r="O132" s="14" t="str">
        <x:v>arXiv:2509.19783</x:v>
      </x:c>
      <x:c r="P132" s="14" t="str">
        <x:v>New addition; low-code agent monitoring and handoff.</x:v>
      </x:c>
      <x:c r="Q132" s="14" t="n">
        <x:v>80</x:v>
      </x:c>
      <x:c r="R132" s="14" t="str"/>
      <x:c r="S132" s="14" t="str"/>
    </x:row>
    <x:row r="133" ht="64" customHeight="1">
      <x:c r="A133" s="14" t="n">
        <x:v>132</x:v>
      </x:c>
      <x:c r="B133" s="14" t="str">
        <x:v>New web-search addition</x:v>
      </x:c>
      <x:c r="C133" s="14" t="str">
        <x:v>Final Top 50</x:v>
      </x:c>
      <x:c r="D133" s="14" t="n">
        <x:v>2025</x:v>
      </x:c>
      <x:c r="E133" s="14" t="str">
        <x:v>A Configuration-First Framework for Reproducible, Low-Code Localization</x:v>
      </x:c>
      <x:c r="F133" s="14" t="str">
        <x:v>Tim Strnad; Blaž Bertalanič; Carolina Fortuna</x:v>
      </x:c>
      <x:c r="G133" s="14" t="str">
        <x:v>arXiv</x:v>
      </x:c>
      <x:c r="H133" s="14" t="str">
        <x:v>Low-code reproducible ML workflows</x:v>
      </x:c>
      <x:c r="I133" s="14" t="str">
        <x:v>https://arxiv.org/abs/2510.25692</x:v>
      </x:c>
      <x:c r="J133" s="14" t="str">
        <x:v>https://arxiv.org/pdf/2510.25692</x:v>
      </x:c>
      <x:c r="K133" s="14" t="str">
        <x:v>Direct arXiv PDF</x:v>
      </x:c>
      <x:c r="L133" s="14" t="str">
        <x:v>Web search expansion, 2026-06-12</x:v>
      </x:c>
      <x:c r="M133" s="14" t="str"/>
      <x:c r="N133" s="14" t="str"/>
      <x:c r="O133" s="14" t="str">
        <x:v>arXiv:2510.25692</x:v>
      </x:c>
      <x:c r="P133" s="14" t="str">
        <x:v>New addition; low-code reproducibility framework for localization workflows.</x:v>
      </x:c>
      <x:c r="Q133" s="14" t="n">
        <x:v>80</x:v>
      </x:c>
      <x:c r="R133" s="14" t="str"/>
      <x:c r="S133" s="14" t="str"/>
    </x:row>
    <x:row r="134" ht="64" customHeight="1">
      <x:c r="A134" s="14" t="n">
        <x:v>133</x:v>
      </x:c>
      <x:c r="B134" s="14" t="str">
        <x:v>New web-search addition</x:v>
      </x:c>
      <x:c r="C134" s="14" t="str">
        <x:v>Final Top 50</x:v>
      </x:c>
      <x:c r="D134" s="14" t="n">
        <x:v>2024</x:v>
      </x:c>
      <x:c r="E134" s="14" t="str">
        <x:v>Towards No-Code Programming of Cobots: Experiments with Code Synthesis by Large Code Models for Conversational Programming</x:v>
      </x:c>
      <x:c r="F134" s="14" t="str">
        <x:v>Chalamalasetti Kranti; Sherzod Hakimov; David Schlangen</x:v>
      </x:c>
      <x:c r="G134" s="14" t="str">
        <x:v>arXiv / ITL4HRI workshop</x:v>
      </x:c>
      <x:c r="H134" s="14" t="str">
        <x:v>No-code robotics/cobot programming</x:v>
      </x:c>
      <x:c r="I134" s="14" t="str">
        <x:v>https://arxiv.org/abs/2409.11041</x:v>
      </x:c>
      <x:c r="J134" s="14" t="str">
        <x:v>https://arxiv.org/pdf/2409.11041</x:v>
      </x:c>
      <x:c r="K134" s="14" t="str">
        <x:v>Direct arXiv PDF</x:v>
      </x:c>
      <x:c r="L134" s="14" t="str">
        <x:v>Web search expansion, 2026-06-12</x:v>
      </x:c>
      <x:c r="M134" s="14" t="str"/>
      <x:c r="N134" s="14" t="str"/>
      <x:c r="O134" s="14" t="str">
        <x:v>arXiv:2409.11041</x:v>
      </x:c>
      <x:c r="P134" s="14" t="str">
        <x:v>New addition; natural-language programming for collaborative robots.</x:v>
      </x:c>
      <x:c r="Q134" s="14" t="n">
        <x:v>80</x:v>
      </x:c>
      <x:c r="R134" s="14" t="str"/>
      <x:c r="S134" s="14" t="str"/>
    </x:row>
    <x:row r="135" ht="64" customHeight="1">
      <x:c r="A135" s="14" t="n">
        <x:v>134</x:v>
      </x:c>
      <x:c r="B135" s="14" t="str">
        <x:v>New web-search addition</x:v>
      </x:c>
      <x:c r="C135" s="14" t="str">
        <x:v>Final Top 50</x:v>
      </x:c>
      <x:c r="D135" s="14" t="n">
        <x:v>2025</x:v>
      </x:c>
      <x:c r="E135" s="14" t="str">
        <x:v>Improving the Developer Experience with a Low-Code Process Modelling Language</x:v>
      </x:c>
      <x:c r="F135" s="14" t="str">
        <x:v>Henrique Henriques; Hugo Lourenço; Vasco Amaral; Miguel Goulão</x:v>
      </x:c>
      <x:c r="G135" s="14" t="str">
        <x:v>arXiv / ACM-related empirical evaluation</x:v>
      </x:c>
      <x:c r="H135" s="14" t="str">
        <x:v>Low-code developer experience/usability</x:v>
      </x:c>
      <x:c r="I135" s="14" t="str">
        <x:v>https://arxiv.org/abs/2508.06299</x:v>
      </x:c>
      <x:c r="J135" s="14" t="str">
        <x:v>https://arxiv.org/pdf/2508.06299</x:v>
      </x:c>
      <x:c r="K135" s="14" t="str">
        <x:v>Direct arXiv PDF</x:v>
      </x:c>
      <x:c r="L135" s="14" t="str">
        <x:v>Web search expansion, 2026-06-12</x:v>
      </x:c>
      <x:c r="M135" s="14" t="str"/>
      <x:c r="N135" s="14" t="str"/>
      <x:c r="O135" s="14" t="str">
        <x:v>arXiv:2508.06299</x:v>
      </x:c>
      <x:c r="P135" s="14" t="str">
        <x:v>New addition; evaluates improved low-code process modeling language with practitioners.</x:v>
      </x:c>
      <x:c r="Q135" s="14" t="n">
        <x:v>80</x:v>
      </x:c>
      <x:c r="R135" s="14" t="str"/>
      <x:c r="S135" s="14" t="str"/>
    </x:row>
    <x:row r="136" ht="64" customHeight="1">
      <x:c r="A136" s="14" t="n">
        <x:v>135</x:v>
      </x:c>
      <x:c r="B136" s="14" t="str">
        <x:v>New web-search addition</x:v>
      </x:c>
      <x:c r="C136" s="14" t="str">
        <x:v>Final Top 50</x:v>
      </x:c>
      <x:c r="D136" s="14" t="n">
        <x:v>2024</x:v>
      </x:c>
      <x:c r="E136" s="14" t="str">
        <x:v>Towards the interoperability of low-code platforms</x:v>
      </x:c>
      <x:c r="F136" s="14" t="str">
        <x:v>Iván Alfonso; Aaron Conrardy; Jordi Cabot</x:v>
      </x:c>
      <x:c r="G136" s="14" t="str">
        <x:v>arXiv</x:v>
      </x:c>
      <x:c r="H136" s="14" t="str">
        <x:v>Low-code platform interoperability</x:v>
      </x:c>
      <x:c r="I136" s="14" t="str">
        <x:v>https://arxiv.org/abs/2412.05075</x:v>
      </x:c>
      <x:c r="J136" s="14" t="str">
        <x:v>https://arxiv.org/pdf/2412.05075</x:v>
      </x:c>
      <x:c r="K136" s="14" t="str">
        <x:v>Direct arXiv PDF</x:v>
      </x:c>
      <x:c r="L136" s="14" t="str">
        <x:v>Web search expansion, 2026-06-12</x:v>
      </x:c>
      <x:c r="M136" s="14" t="str"/>
      <x:c r="N136" s="14" t="str"/>
      <x:c r="O136" s="14" t="str">
        <x:v>arXiv:2412.05075</x:v>
      </x:c>
      <x:c r="P136" s="14" t="str">
        <x:v>New addition; addresses vendor lock-in/interoperability with BESSER and model migration.</x:v>
      </x:c>
      <x:c r="Q136" s="14" t="n">
        <x:v>80</x:v>
      </x:c>
      <x:c r="R136" s="14" t="str"/>
      <x:c r="S136" s="14" t="str"/>
    </x:row>
    <x:row r="137" ht="64" customHeight="1">
      <x:c r="A137" s="14" t="n">
        <x:v>136</x:v>
      </x:c>
      <x:c r="B137" s="14" t="str">
        <x:v>New web-search addition</x:v>
      </x:c>
      <x:c r="C137" s="14" t="str">
        <x:v>Final Top 50</x:v>
      </x:c>
      <x:c r="D137" s="14" t="n">
        <x:v>2025</x:v>
      </x:c>
      <x:c r="E137" s="14" t="str">
        <x:v>Beyond Text: Implementing Multimodal Large Language Model-Powered Multi-Agent Systems Using a No-Code Platform</x:v>
      </x:c>
      <x:c r="F137" s="14" t="str">
        <x:v>Cheonsu Jeong</x:v>
      </x:c>
      <x:c r="G137" s="14" t="str">
        <x:v>Journal of Intelligence and Information Systems</x:v>
      </x:c>
      <x:c r="H137" s="14" t="str">
        <x:v>No-code multimodal LLM agents</x:v>
      </x:c>
      <x:c r="I137" s="14" t="str">
        <x:v>https://arxiv.org/abs/2501.00750</x:v>
      </x:c>
      <x:c r="J137" s="14" t="str">
        <x:v>https://arxiv.org/pdf/2501.00750</x:v>
      </x:c>
      <x:c r="K137" s="14" t="str">
        <x:v>Direct arXiv PDF</x:v>
      </x:c>
      <x:c r="L137" s="14" t="str">
        <x:v>Web search expansion, 2026-06-12</x:v>
      </x:c>
      <x:c r="M137" s="14" t="str"/>
      <x:c r="N137" s="14" t="str"/>
      <x:c r="O137" s="14" t="str">
        <x:v>arXiv:2501.00750; JIIS 2025</x:v>
      </x:c>
      <x:c r="P137" s="14" t="str">
        <x:v>New addition; multimodal LLM-based no-code multi-agent system.</x:v>
      </x:c>
      <x:c r="Q137" s="14" t="n">
        <x:v>80</x:v>
      </x:c>
      <x:c r="R137" s="14" t="str"/>
      <x:c r="S137" s="14" t="str"/>
    </x:row>
    <x:row r="138" ht="64" customHeight="1">
      <x:c r="A138" s="14" t="n">
        <x:v>137</x:v>
      </x:c>
      <x:c r="B138" s="14" t="str">
        <x:v>New web-search addition</x:v>
      </x:c>
      <x:c r="C138" s="14" t="str">
        <x:v>Screened out from final top 50 but retained in expanded corpus</x:v>
      </x:c>
      <x:c r="D138" s="14" t="n">
        <x:v>2025</x:v>
      </x:c>
      <x:c r="E138" s="14" t="str">
        <x:v>MoT: A Model-Driven Low-Code Approach for Simplifying Cloud-of-Things Application Development</x:v>
      </x:c>
      <x:c r="F138" s="14" t="str">
        <x:v>Not captured in metadata pass</x:v>
      </x:c>
      <x:c r="G138" s="14" t="str">
        <x:v>arXiv</x:v>
      </x:c>
      <x:c r="H138" s="14" t="str">
        <x:v>Model-driven low-code / Cloud-of-Things</x:v>
      </x:c>
      <x:c r="I138" s="14" t="str">
        <x:v>https://arxiv.org/abs/2512.14613</x:v>
      </x:c>
      <x:c r="J138" s="14" t="str">
        <x:v>https://arxiv.org/pdf/2512.14613</x:v>
      </x:c>
      <x:c r="K138" s="14" t="str">
        <x:v>Direct arXiv PDF</x:v>
      </x:c>
      <x:c r="L138" s="14" t="str">
        <x:v>Web search expansion, 2026-06-12</x:v>
      </x:c>
      <x:c r="M138" s="14" t="str"/>
      <x:c r="N138" s="14" t="str"/>
      <x:c r="O138" s="14" t="str">
        <x:v>arXiv:2512.14613</x:v>
      </x:c>
      <x:c r="P138" s="14" t="str">
        <x:v>New addition; low-code approach for Cloud-of-Things application development.</x:v>
      </x:c>
      <x:c r="Q138" s="14" t="n">
        <x:v>55</x:v>
      </x:c>
      <x:c r="R138" s="14" t="str"/>
      <x:c r="S138" s="14" t="str"/>
    </x:row>
    <x:row r="139" ht="64" customHeight="1">
      <x:c r="A139" s="14" t="n">
        <x:v>138</x:v>
      </x:c>
      <x:c r="B139" s="14" t="str">
        <x:v>New web-search addition</x:v>
      </x:c>
      <x:c r="C139" s="14" t="str">
        <x:v>Screened out from final top 50 but retained in expanded corpus</x:v>
      </x:c>
      <x:c r="D139" s="14" t="n">
        <x:v>2026</x:v>
      </x:c>
      <x:c r="E139" s="14" t="str">
        <x:v>The Trilingual Triad Framework: Integrating Design, AI, and Domain Knowledge in No-code AI Smart City Course</x:v>
      </x:c>
      <x:c r="F139" s="14" t="str">
        <x:v>Not captured in metadata pass</x:v>
      </x:c>
      <x:c r="G139" s="14" t="str">
        <x:v>arXiv</x:v>
      </x:c>
      <x:c r="H139" s="14" t="str">
        <x:v>No-code AI education / smart cities</x:v>
      </x:c>
      <x:c r="I139" s="14" t="str">
        <x:v>https://arxiv.org/abs/2603.05036</x:v>
      </x:c>
      <x:c r="J139" s="14" t="str">
        <x:v>https://arxiv.org/pdf/2603.05036</x:v>
      </x:c>
      <x:c r="K139" s="14" t="str">
        <x:v>Direct arXiv PDF</x:v>
      </x:c>
      <x:c r="L139" s="14" t="str">
        <x:v>Web search expansion, 2026-06-12</x:v>
      </x:c>
      <x:c r="M139" s="14" t="str"/>
      <x:c r="N139" s="14" t="str"/>
      <x:c r="O139" s="14" t="str">
        <x:v>arXiv:2603.05036</x:v>
      </x:c>
      <x:c r="P139" s="14" t="str">
        <x:v>New addition; no-code AI course framework.</x:v>
      </x:c>
      <x:c r="Q139" s="14" t="n">
        <x:v>55</x:v>
      </x:c>
      <x:c r="R139" s="14" t="str"/>
      <x:c r="S139" s="14" t="str"/>
    </x:row>
    <x:row r="140" ht="64" customHeight="1">
      <x:c r="A140" s="14" t="n">
        <x:v>139</x:v>
      </x:c>
      <x:c r="B140" s="14" t="str">
        <x:v>New web-search addition</x:v>
      </x:c>
      <x:c r="C140" s="14" t="str">
        <x:v>Screened out from final top 50 but retained in expanded corpus</x:v>
      </x:c>
      <x:c r="D140" s="14" t="n">
        <x:v>2026</x:v>
      </x:c>
      <x:c r="E140" s="14" t="str">
        <x:v>Don't Vibe Code, Do Skele-Code: Interactive No-Code Notebooks for Subject Matter Experts to Build Lower-Cost Agentic Workflows</x:v>
      </x:c>
      <x:c r="F140" s="14" t="str">
        <x:v>Not captured in metadata pass</x:v>
      </x:c>
      <x:c r="G140" s="14" t="str">
        <x:v>arXiv</x:v>
      </x:c>
      <x:c r="H140" s="14" t="str">
        <x:v>No-code notebooks / agentic workflows</x:v>
      </x:c>
      <x:c r="I140" s="14" t="str">
        <x:v>https://arxiv.org/abs/2603.18122</x:v>
      </x:c>
      <x:c r="J140" s="14" t="str">
        <x:v>https://arxiv.org/pdf/2603.18122</x:v>
      </x:c>
      <x:c r="K140" s="14" t="str">
        <x:v>Direct arXiv PDF</x:v>
      </x:c>
      <x:c r="L140" s="14" t="str">
        <x:v>Web search expansion, 2026-06-12</x:v>
      </x:c>
      <x:c r="M140" s="14" t="str"/>
      <x:c r="N140" s="14" t="str"/>
      <x:c r="O140" s="14" t="str">
        <x:v>arXiv:2603.18122</x:v>
      </x:c>
      <x:c r="P140" s="14" t="str">
        <x:v>New addition; interactive no-code notebook approach.</x:v>
      </x:c>
      <x:c r="Q140" s="14" t="n">
        <x:v>55</x:v>
      </x:c>
      <x:c r="R140" s="14" t="str"/>
      <x:c r="S140" s="14" t="str"/>
    </x:row>
    <x:row r="141" ht="64" customHeight="1">
      <x:c r="A141" s="14" t="n">
        <x:v>140</x:v>
      </x:c>
      <x:c r="B141" s="14" t="str">
        <x:v>New web-search addition</x:v>
      </x:c>
      <x:c r="C141" s="14" t="str">
        <x:v>Final Top 50</x:v>
      </x:c>
      <x:c r="D141" s="14" t="n">
        <x:v>2026</x:v>
      </x:c>
      <x:c r="E141" s="14" t="str">
        <x:v>Explaining AI Without Code: A User Study on Explainable AI</x:v>
      </x:c>
      <x:c r="F141" s="14" t="str">
        <x:v>Not captured in metadata pass</x:v>
      </x:c>
      <x:c r="G141" s="14" t="str">
        <x:v>arXiv</x:v>
      </x:c>
      <x:c r="H141" s="14" t="str">
        <x:v>No-code XAI / user study</x:v>
      </x:c>
      <x:c r="I141" s="14" t="str">
        <x:v>https://arxiv.org/abs/2602.11159</x:v>
      </x:c>
      <x:c r="J141" s="14" t="str">
        <x:v>https://arxiv.org/pdf/2602.11159</x:v>
      </x:c>
      <x:c r="K141" s="14" t="str">
        <x:v>Direct arXiv PDF</x:v>
      </x:c>
      <x:c r="L141" s="14" t="str">
        <x:v>Web search expansion, 2026-06-12</x:v>
      </x:c>
      <x:c r="M141" s="14" t="str"/>
      <x:c r="N141" s="14" t="str"/>
      <x:c r="O141" s="14" t="str">
        <x:v>arXiv:2602.11159</x:v>
      </x:c>
      <x:c r="P141" s="14" t="str">
        <x:v>New addition; no-code explainable AI user study.</x:v>
      </x:c>
      <x:c r="Q141" s="14" t="n">
        <x:v>80</x:v>
      </x:c>
      <x:c r="R141" s="14" t="str"/>
      <x:c r="S141" s="14" t="str"/>
    </x:row>
    <x:row r="142" ht="64" customHeight="1">
      <x:c r="A142" s="14" t="n">
        <x:v>141</x:v>
      </x:c>
      <x:c r="B142" s="14" t="str">
        <x:v>New web-search addition</x:v>
      </x:c>
      <x:c r="C142" s="14" t="str">
        <x:v>Screened out from final top 50 but retained in expanded corpus</x:v>
      </x:c>
      <x:c r="D142" s="14" t="n">
        <x:v>2026</x:v>
      </x:c>
      <x:c r="E142" s="14" t="str">
        <x:v>Vibe-driven model-based engineering</x:v>
      </x:c>
      <x:c r="F142" s="14" t="str">
        <x:v>Not captured in metadata pass</x:v>
      </x:c>
      <x:c r="G142" s="14" t="str">
        <x:v>arXiv</x:v>
      </x:c>
      <x:c r="H142" s="14" t="str">
        <x:v>Model-based engineering + generative AI</x:v>
      </x:c>
      <x:c r="I142" s="14" t="str">
        <x:v>https://arxiv.org/abs/2604.10645</x:v>
      </x:c>
      <x:c r="J142" s="14" t="str">
        <x:v>https://arxiv.org/pdf/2604.10645</x:v>
      </x:c>
      <x:c r="K142" s="14" t="str">
        <x:v>Direct arXiv PDF</x:v>
      </x:c>
      <x:c r="L142" s="14" t="str">
        <x:v>Web search expansion, 2026-06-12</x:v>
      </x:c>
      <x:c r="M142" s="14" t="str"/>
      <x:c r="N142" s="14" t="str"/>
      <x:c r="O142" s="14" t="str">
        <x:v>arXiv:2604.10645</x:v>
      </x:c>
      <x:c r="P142" s="14" t="str">
        <x:v>New addition; model-based engineering and generative prompting/AI.</x:v>
      </x:c>
      <x:c r="Q142" s="14" t="n">
        <x:v>55</x:v>
      </x:c>
      <x:c r="R142" s="14" t="str"/>
      <x:c r="S142" s="14" t="str"/>
    </x:row>
    <x:row r="143" ht="64" customHeight="1">
      <x:c r="A143" s="14" t="n">
        <x:v>142</x:v>
      </x:c>
      <x:c r="B143" s="14" t="str">
        <x:v>New web-search addition</x:v>
      </x:c>
      <x:c r="C143" s="14" t="str">
        <x:v>Screened out from final top 50 but retained in expanded corpus</x:v>
      </x:c>
      <x:c r="D143" s="14" t="n">
        <x:v>2026</x:v>
      </x:c>
      <x:c r="E143" s="14" t="str">
        <x:v>A Low-Code Approach for the Automatic Personalization of Conversational Agents</x:v>
      </x:c>
      <x:c r="F143" s="14" t="str">
        <x:v>Not captured in metadata pass</x:v>
      </x:c>
      <x:c r="G143" s="14" t="str">
        <x:v>arXiv</x:v>
      </x:c>
      <x:c r="H143" s="14" t="str">
        <x:v>Low-code conversational agents</x:v>
      </x:c>
      <x:c r="I143" s="14" t="str">
        <x:v>https://arxiv.org/abs/2605.02384</x:v>
      </x:c>
      <x:c r="J143" s="14" t="str">
        <x:v>https://arxiv.org/pdf/2605.02384</x:v>
      </x:c>
      <x:c r="K143" s="14" t="str">
        <x:v>Direct arXiv PDF</x:v>
      </x:c>
      <x:c r="L143" s="14" t="str">
        <x:v>Web search expansion, 2026-06-12</x:v>
      </x:c>
      <x:c r="M143" s="14" t="str"/>
      <x:c r="N143" s="14" t="str"/>
      <x:c r="O143" s="14" t="str">
        <x:v>arXiv:2605.02384</x:v>
      </x:c>
      <x:c r="P143" s="14" t="str">
        <x:v>New addition; low-code personalization of conversational agents.</x:v>
      </x:c>
      <x:c r="Q143" s="14" t="n">
        <x:v>55</x:v>
      </x:c>
      <x:c r="R143" s="14" t="str"/>
      <x:c r="S143" s="14" t="str"/>
    </x:row>
    <x:row r="144" ht="64" customHeight="1">
      <x:c r="A144" s="14" t="n">
        <x:v>143</x:v>
      </x:c>
      <x:c r="B144" s="14" t="str">
        <x:v>New web-search addition</x:v>
      </x:c>
      <x:c r="C144" s="14" t="str">
        <x:v>Screened out from final top 50 but retained in expanded corpus</x:v>
      </x:c>
      <x:c r="D144" s="14" t="n">
        <x:v>2026</x:v>
      </x:c>
      <x:c r="E144" s="14" t="str">
        <x:v>Automated Root-Cause Subclassification and No-Code Fix Generation for Invalid Bug Reports</x:v>
      </x:c>
      <x:c r="F144" s="14" t="str">
        <x:v>Not captured in metadata pass</x:v>
      </x:c>
      <x:c r="G144" s="14" t="str">
        <x:v>arXiv</x:v>
      </x:c>
      <x:c r="H144" s="14" t="str">
        <x:v>No-code repair / software maintenance</x:v>
      </x:c>
      <x:c r="I144" s="14" t="str">
        <x:v>https://arxiv.org/abs/2605.17561</x:v>
      </x:c>
      <x:c r="J144" s="14" t="str">
        <x:v>https://arxiv.org/pdf/2605.17561</x:v>
      </x:c>
      <x:c r="K144" s="14" t="str">
        <x:v>Direct arXiv PDF</x:v>
      </x:c>
      <x:c r="L144" s="14" t="str">
        <x:v>Web search expansion, 2026-06-12</x:v>
      </x:c>
      <x:c r="M144" s="14" t="str"/>
      <x:c r="N144" s="14" t="str"/>
      <x:c r="O144" s="14" t="str">
        <x:v>arXiv:2605.17561</x:v>
      </x:c>
      <x:c r="P144" s="14" t="str">
        <x:v>New addition; no-code fix generation for bug reports.</x:v>
      </x:c>
      <x:c r="Q144" s="14" t="n">
        <x:v>55</x:v>
      </x:c>
      <x:c r="R144" s="14" t="str"/>
      <x:c r="S144" s="14" t="str"/>
    </x:row>
    <x:row r="145" ht="64" customHeight="1">
      <x:c r="A145" s="14" t="n">
        <x:v>144</x:v>
      </x:c>
      <x:c r="B145" s="14" t="str">
        <x:v>New web-search addition</x:v>
      </x:c>
      <x:c r="C145" s="14" t="str">
        <x:v>Screened out from final top 50 but retained in expanded corpus</x:v>
      </x:c>
      <x:c r="D145" s="14" t="n">
        <x:v>2025</x:v>
      </x:c>
      <x:c r="E145" s="14" t="str">
        <x:v>ORCA: A Comprehensive AI-Driven Platform for Digital Pathology Analysis and Biomarker Discovery</x:v>
      </x:c>
      <x:c r="F145" s="14" t="str">
        <x:v>Not captured in metadata pass</x:v>
      </x:c>
      <x:c r="G145" s="14" t="str">
        <x:v>arXiv</x:v>
      </x:c>
      <x:c r="H145" s="14" t="str">
        <x:v>No-code AI platform / healthcare</x:v>
      </x:c>
      <x:c r="I145" s="14" t="str">
        <x:v>https://arxiv.org/abs/2509.13044</x:v>
      </x:c>
      <x:c r="J145" s="14" t="str">
        <x:v>https://arxiv.org/pdf/2509.13044</x:v>
      </x:c>
      <x:c r="K145" s="14" t="str">
        <x:v>Direct arXiv PDF</x:v>
      </x:c>
      <x:c r="L145" s="14" t="str">
        <x:v>Web search expansion, 2026-06-12</x:v>
      </x:c>
      <x:c r="M145" s="14" t="str"/>
      <x:c r="N145" s="14" t="str"/>
      <x:c r="O145" s="14" t="str">
        <x:v>arXiv:2509.13044</x:v>
      </x:c>
      <x:c r="P145" s="14" t="str">
        <x:v>New addition; no-code AI platform in digital pathology.</x:v>
      </x:c>
      <x:c r="Q145" s="14" t="n">
        <x:v>55</x:v>
      </x:c>
      <x:c r="R145" s="14" t="str"/>
      <x:c r="S145" s="14" t="str"/>
    </x:row>
    <x:row r="146" ht="64" customHeight="1">
      <x:c r="A146" s="14" t="n">
        <x:v>145</x:v>
      </x:c>
      <x:c r="B146" s="14" t="str">
        <x:v>New web-search addition</x:v>
      </x:c>
      <x:c r="C146" s="14" t="str">
        <x:v>Screened out from final top 50 but retained in expanded corpus</x:v>
      </x:c>
      <x:c r="D146" s="14" t="n">
        <x:v>2025</x:v>
      </x:c>
      <x:c r="E146" s="14" t="str">
        <x:v>MANILA: A Low-Code Application to Benchmark Machine Learning Models and Fairness-Enhancing Methods</x:v>
      </x:c>
      <x:c r="F146" s="14" t="str">
        <x:v>Giordano d’Aloisio; others</x:v>
      </x:c>
      <x:c r="G146" s="14" t="str">
        <x:v>ACM demo/preprint</x:v>
      </x:c>
      <x:c r="H146" s="14" t="str">
        <x:v>Low-code ML benchmarking/fairness</x:v>
      </x:c>
      <x:c r="I146" s="14" t="str">
        <x:v>https://giordanodaloisio.github.io/assets/pdf/manila_demo.pdf</x:v>
      </x:c>
      <x:c r="J146" s="14" t="str">
        <x:v>https://giordanodaloisio.github.io/assets/pdf/manila_demo.pdf</x:v>
      </x:c>
      <x:c r="K146" s="14" t="str">
        <x:v>Direct PDF</x:v>
      </x:c>
      <x:c r="L146" s="14" t="str">
        <x:v>Web search expansion, 2026-06-12</x:v>
      </x:c>
      <x:c r="M146" s="14" t="str"/>
      <x:c r="N146" s="14" t="str"/>
      <x:c r="O146" s="14" t="str">
        <x:v>Author PDF</x:v>
      </x:c>
      <x:c r="P146" s="14" t="str">
        <x:v>New addition; low-code benchmarking of ML and fairness methods.</x:v>
      </x:c>
      <x:c r="Q146" s="14" t="n">
        <x:v>55</x:v>
      </x:c>
      <x:c r="R146" s="14" t="str"/>
      <x:c r="S146" s="14" t="str"/>
    </x:row>
    <x:row r="147" ht="64" customHeight="1">
      <x:c r="A147" s="14" t="n">
        <x:v>146</x:v>
      </x:c>
      <x:c r="B147" s="14" t="str">
        <x:v>New web-search addition</x:v>
      </x:c>
      <x:c r="C147" s="14" t="str">
        <x:v>Final Top 50</x:v>
      </x:c>
      <x:c r="D147" s="14" t="n">
        <x:v>2024</x:v>
      </x:c>
      <x:c r="E147" s="14" t="str">
        <x:v>AI for Low-Code for AI</x:v>
      </x:c>
      <x:c r="F147" s="14" t="str">
        <x:v>Nikhila Rao; Dan Grossman; Katharina Reinecke</x:v>
      </x:c>
      <x:c r="G147" s="14" t="str">
        <x:v>ACM IUI 2024</x:v>
      </x:c>
      <x:c r="H147" s="14" t="str">
        <x:v>AI support for low-code AI development</x:v>
      </x:c>
      <x:c r="I147" s="14" t="str">
        <x:v>https://dl.acm.org/doi/10.1145/3640543.3645203</x:v>
      </x:c>
      <x:c r="J147" s="14" t="str">
        <x:v>https://www.jsntsay.com/publications/rao-iui24.pdf</x:v>
      </x:c>
      <x:c r="K147" s="14" t="str">
        <x:v>Direct author PDF</x:v>
      </x:c>
      <x:c r="L147" s="14" t="str">
        <x:v>Web search expansion, 2026-06-12</x:v>
      </x:c>
      <x:c r="M147" s="14" t="str"/>
      <x:c r="N147" s="14" t="str"/>
      <x:c r="O147" s="14" t="str">
        <x:v>ACM IUI 2024</x:v>
      </x:c>
      <x:c r="P147" s="14" t="str">
        <x:v>New addition; examines AI assistance in low-code AI tools.</x:v>
      </x:c>
      <x:c r="Q147" s="14" t="n">
        <x:v>80</x:v>
      </x:c>
      <x:c r="R147" s="14" t="str"/>
      <x:c r="S147" s="14" t="str"/>
    </x:row>
    <x:row r="148" ht="64" customHeight="1">
      <x:c r="A148" s="14" t="n">
        <x:v>147</x:v>
      </x:c>
      <x:c r="B148" s="14" t="str">
        <x:v>New web-search addition</x:v>
      </x:c>
      <x:c r="C148" s="14" t="str">
        <x:v>Final Top 50</x:v>
      </x:c>
      <x:c r="D148" s="14" t="n">
        <x:v>2024</x:v>
      </x:c>
      <x:c r="E148" s="14" t="str">
        <x:v>Requirements Engineering for No-Code Development (RE4NCD): A Case Study of Smart Contract Development</x:v>
      </x:c>
      <x:c r="F148" s="14" t="str">
        <x:v>Not captured in metadata pass</x:v>
      </x:c>
      <x:c r="G148" s="14" t="str">
        <x:v>Springer / REFSQ 2024</x:v>
      </x:c>
      <x:c r="H148" s="14" t="str">
        <x:v>Requirements engineering for no-code</x:v>
      </x:c>
      <x:c r="I148" s="14" t="str">
        <x:v>https://link.springer.com/chapter/10.1007/978-3-031-57327-9_20</x:v>
      </x:c>
      <x:c r="J148" s="14" t="str"/>
      <x:c r="K148" s="14" t="str">
        <x:v>Article page only</x:v>
      </x:c>
      <x:c r="L148" s="14" t="str">
        <x:v>Web search expansion, 2026-06-12</x:v>
      </x:c>
      <x:c r="M148" s="14" t="str"/>
      <x:c r="N148" s="14" t="str"/>
      <x:c r="O148" s="14" t="str">
        <x:v>Springer chapter DOI 10.1007/978-3-031-57327-9_20</x:v>
      </x:c>
      <x:c r="P148" s="14" t="str">
        <x:v>New addition; no direct open PDF found in this pass.</x:v>
      </x:c>
      <x:c r="Q148" s="14" t="n">
        <x:v>80</x:v>
      </x:c>
      <x:c r="R148" s="14" t="str"/>
      <x:c r="S148" s="14" t="str"/>
    </x:row>
    <x:row r="149" ht="64" customHeight="1">
      <x:c r="A149" s="14" t="n">
        <x:v>148</x:v>
      </x:c>
      <x:c r="B149" s="14" t="str">
        <x:v>New web-search addition</x:v>
      </x:c>
      <x:c r="C149" s="14" t="str">
        <x:v>Final Top 50</x:v>
      </x:c>
      <x:c r="D149" s="14" t="n">
        <x:v>2024</x:v>
      </x:c>
      <x:c r="E149" s="14" t="str">
        <x:v>Emerging New Roles for Low-Code Software Development</x:v>
      </x:c>
      <x:c r="F149" s="14" t="str">
        <x:v>Not captured in metadata pass</x:v>
      </x:c>
      <x:c r="G149" s="14" t="str">
        <x:v>ACM MODELS 2024</x:v>
      </x:c>
      <x:c r="H149" s="14" t="str">
        <x:v>Low-code roles / citizen development</x:v>
      </x:c>
      <x:c r="I149" s="14" t="str">
        <x:v>https://dl.acm.org/doi/10.1145/3652620.3688337</x:v>
      </x:c>
      <x:c r="J149" s="14" t="str">
        <x:v>https://hal.science/hal-04742482v1/file/Lowcode_Models2024-MOTTU.pdf</x:v>
      </x:c>
      <x:c r="K149" s="14" t="str">
        <x:v>Direct HAL PDF</x:v>
      </x:c>
      <x:c r="L149" s="14" t="str">
        <x:v>Web search expansion, 2026-06-12</x:v>
      </x:c>
      <x:c r="M149" s="14" t="str"/>
      <x:c r="N149" s="14" t="str"/>
      <x:c r="O149" s="14" t="str">
        <x:v>ACM MODELS 2024 / HAL</x:v>
      </x:c>
      <x:c r="P149" s="14" t="str">
        <x:v>New addition; role changes created by low-code development.</x:v>
      </x:c>
      <x:c r="Q149" s="14" t="n">
        <x:v>80</x:v>
      </x:c>
      <x:c r="R149" s="14" t="str"/>
      <x:c r="S149" s="14" t="str"/>
    </x:row>
    <x:row r="150" ht="64" customHeight="1">
      <x:c r="A150" s="14" t="n">
        <x:v>149</x:v>
      </x:c>
      <x:c r="B150" s="14" t="str">
        <x:v>New web-search addition</x:v>
      </x:c>
      <x:c r="C150" s="14" t="str">
        <x:v>Final Top 50</x:v>
      </x:c>
      <x:c r="D150" s="14" t="n">
        <x:v>2024</x:v>
      </x:c>
      <x:c r="E150" s="14" t="str">
        <x:v>White-box LLM-supported Low-code Engineering: A Vision and First Insights</x:v>
      </x:c>
      <x:c r="F150" s="14" t="str">
        <x:v>Not captured in metadata pass</x:v>
      </x:c>
      <x:c r="G150" s="14" t="str">
        <x:v>ACM MODELS 2024</x:v>
      </x:c>
      <x:c r="H150" s="14" t="str">
        <x:v>LLM-supported low-code engineering</x:v>
      </x:c>
      <x:c r="I150" s="14" t="str">
        <x:v>https://dl.acm.org/doi/10.1145/3652620.3687803</x:v>
      </x:c>
      <x:c r="J150" s="14" t="str">
        <x:v>https://dl.acm.org/doi/pdf/10.1145/3652620.3687803</x:v>
      </x:c>
      <x:c r="K150" s="14" t="str">
        <x:v>Direct ACM PDF link</x:v>
      </x:c>
      <x:c r="L150" s="14" t="str">
        <x:v>Web search expansion, 2026-06-12</x:v>
      </x:c>
      <x:c r="M150" s="14" t="str"/>
      <x:c r="N150" s="14" t="str"/>
      <x:c r="O150" s="14" t="str">
        <x:v>ACM MODELS 2024</x:v>
      </x:c>
      <x:c r="P150" s="14" t="str">
        <x:v>New addition; vision/insights on transparent LLM support for low-code engineering.</x:v>
      </x:c>
      <x:c r="Q150" s="14" t="n">
        <x:v>80</x:v>
      </x:c>
      <x:c r="R150" s="14" t="str"/>
      <x:c r="S150" s="14" t="str"/>
    </x:row>
    <x:row r="151" ht="64" customHeight="1">
      <x:c r="A151" s="14" t="n">
        <x:v>150</x:v>
      </x:c>
      <x:c r="B151" s="14" t="str">
        <x:v>New web-search addition</x:v>
      </x:c>
      <x:c r="C151" s="14" t="str">
        <x:v>Final Top 50</x:v>
      </x:c>
      <x:c r="D151" s="14" t="n">
        <x:v>2024</x:v>
      </x:c>
      <x:c r="E151" s="14" t="str">
        <x:v>ChatIoT: Zero-code Generation of Trigger-action Based IoT Programs</x:v>
      </x:c>
      <x:c r="F151" s="14" t="str">
        <x:v>Not captured in metadata pass</x:v>
      </x:c>
      <x:c r="G151" s="14" t="str">
        <x:v>ACM IMWUT 2024</x:v>
      </x:c>
      <x:c r="H151" s="14" t="str">
        <x:v>Zero-code IoT / trigger-action programming</x:v>
      </x:c>
      <x:c r="I151" s="14" t="str">
        <x:v>https://dl.acm.org/doi/10.1145/3678585</x:v>
      </x:c>
      <x:c r="J151" s="14" t="str">
        <x:v>https://www.emnets.cn/zh/publication/ubicomp-24-chatiot/chatiot.pdf</x:v>
      </x:c>
      <x:c r="K151" s="14" t="str">
        <x:v>Direct author/institution PDF</x:v>
      </x:c>
      <x:c r="L151" s="14" t="str">
        <x:v>Web search expansion, 2026-06-12</x:v>
      </x:c>
      <x:c r="M151" s="14" t="str"/>
      <x:c r="N151" s="14" t="str"/>
      <x:c r="O151" s="14" t="str">
        <x:v>ACM IMWUT 2024</x:v>
      </x:c>
      <x:c r="P151" s="14" t="str">
        <x:v>New addition; high relevance to zero-code IoT programs.</x:v>
      </x:c>
      <x:c r="Q151" s="14" t="n">
        <x:v>80</x:v>
      </x:c>
      <x:c r="R151" s="14" t="str"/>
      <x:c r="S151" s="14" t="str"/>
    </x:row>
    <x:row r="152" ht="64" customHeight="1">
      <x:c r="A152" s="14" t="n">
        <x:v>151</x:v>
      </x:c>
      <x:c r="B152" s="14" t="str">
        <x:v>New web-search addition</x:v>
      </x:c>
      <x:c r="C152" s="14" t="str">
        <x:v>Screened out from final top 50 but retained in expanded corpus</x:v>
      </x:c>
      <x:c r="D152" s="14" t="n">
        <x:v>2025</x:v>
      </x:c>
      <x:c r="E152" s="14" t="str">
        <x:v>End-User Customization of Trigger-Action Rules Through Fine-Tuned LLMs</x:v>
      </x:c>
      <x:c r="F152" s="14" t="str">
        <x:v>Not captured in metadata pass</x:v>
      </x:c>
      <x:c r="G152" s="14" t="str">
        <x:v>Springer IS-EUD 2025</x:v>
      </x:c>
      <x:c r="H152" s="14" t="str">
        <x:v>End-user development / trigger-action rules</x:v>
      </x:c>
      <x:c r="I152" s="14" t="str">
        <x:v>https://link.springer.com/chapter/10.1007/978-3-031-95452-8_2</x:v>
      </x:c>
      <x:c r="J152" s="14" t="str">
        <x:v>https://link.springer.com/content/pdf/10.1007/978-3-031-95452-8.pdf</x:v>
      </x:c>
      <x:c r="K152" s="14" t="str">
        <x:v>Book PDF link</x:v>
      </x:c>
      <x:c r="L152" s="14" t="str">
        <x:v>Web search expansion, 2026-06-12</x:v>
      </x:c>
      <x:c r="M152" s="14" t="str"/>
      <x:c r="N152" s="14" t="str"/>
      <x:c r="O152" s="14" t="str">
        <x:v>Springer IS-EUD 2025</x:v>
      </x:c>
      <x:c r="P152" s="14" t="str">
        <x:v>New addition; full book PDF link includes chapter.</x:v>
      </x:c>
      <x:c r="Q152" s="14" t="n">
        <x:v>55</x:v>
      </x:c>
      <x:c r="R152" s="14" t="str"/>
      <x:c r="S152" s="14" t="str"/>
    </x:row>
    <x:row r="153" ht="64" customHeight="1">
      <x:c r="A153" s="14" t="n">
        <x:v>152</x:v>
      </x:c>
      <x:c r="B153" s="14" t="str">
        <x:v>New web-search addition</x:v>
      </x:c>
      <x:c r="C153" s="14" t="str">
        <x:v>Screened out from final top 50 but retained in expanded corpus</x:v>
      </x:c>
      <x:c r="D153" s="14" t="n">
        <x:v>2025</x:v>
      </x:c>
      <x:c r="E153" s="14" t="str">
        <x:v>IoT Rule Generation With Cross-View Contrastive Learning and Perplexity-Based Ranking</x:v>
      </x:c>
      <x:c r="F153" s="14" t="str">
        <x:v>Not captured in metadata pass</x:v>
      </x:c>
      <x:c r="G153" s="14" t="str">
        <x:v>IEEE Internet of Things Journal</x:v>
      </x:c>
      <x:c r="H153" s="14" t="str">
        <x:v>IoT rule generation / end-user programming</x:v>
      </x:c>
      <x:c r="I153" s="14" t="str">
        <x:v>https://doi.org/10.1109/JIOT.2025.3579920</x:v>
      </x:c>
      <x:c r="J153" s="14" t="str">
        <x:v>https://www.researchgate.net/publication/392747675_IoT_Rule_Generation_with_Cross-View_Contrastive_Learning_and_Perplexity-Based_Ranking</x:v>
      </x:c>
      <x:c r="K153" s="14" t="str">
        <x:v>Article DOI + ResearchGate full-text page</x:v>
      </x:c>
      <x:c r="L153" s="14" t="str">
        <x:v>Web search expansion, 2026-06-12</x:v>
      </x:c>
      <x:c r="M153" s="14" t="str"/>
      <x:c r="N153" s="14" t="str"/>
      <x:c r="O153" s="14" t="str">
        <x:v>IEEE IoT Journal 2025</x:v>
      </x:c>
      <x:c r="P153" s="14" t="str">
        <x:v>New addition; not strictly LCNC but relevant to zero-code/end-user IoT automation.</x:v>
      </x:c>
      <x:c r="Q153" s="14" t="n">
        <x:v>55</x:v>
      </x:c>
      <x:c r="R153" s="14" t="str"/>
      <x:c r="S153" s="14" t="str"/>
    </x:row>
    <x:row r="154" ht="64" customHeight="1">
      <x:c r="A154" s="14" t="n">
        <x:v>153</x:v>
      </x:c>
      <x:c r="B154" s="14" t="str">
        <x:v>New web-search addition</x:v>
      </x:c>
      <x:c r="C154" s="14" t="str">
        <x:v>Screened out from final top 50 but retained in expanded corpus</x:v>
      </x:c>
      <x:c r="D154" s="14" t="n">
        <x:v>2025</x:v>
      </x:c>
      <x:c r="E154" s="14" t="str">
        <x:v>A Tool for Safe and Accurate IoT Automation Rule Generation Using Large Language Models</x:v>
      </x:c>
      <x:c r="F154" s="14" t="str">
        <x:v>Not captured in metadata pass</x:v>
      </x:c>
      <x:c r="G154" s="14" t="str">
        <x:v>IEEE Security and Privacy Workshops 2025</x:v>
      </x:c>
      <x:c r="H154" s="14" t="str">
        <x:v>Safe IoT automation / LLM rule generation</x:v>
      </x:c>
      <x:c r="I154" s="14" t="str">
        <x:v>https://www.computer.org/csdl/proceedings-article/spw/2025/664300a191/27k6ozdSSe4</x:v>
      </x:c>
      <x:c r="J154" s="14" t="str"/>
      <x:c r="K154" s="14" t="str">
        <x:v>Article page only</x:v>
      </x:c>
      <x:c r="L154" s="14" t="str">
        <x:v>Web search expansion, 2026-06-12</x:v>
      </x:c>
      <x:c r="M154" s="14" t="str"/>
      <x:c r="N154" s="14" t="str"/>
      <x:c r="O154" s="14" t="str">
        <x:v>IEEE SPW 2025</x:v>
      </x:c>
      <x:c r="P154" s="14" t="str">
        <x:v>New addition; safety/accuracy of LLM-generated IoT automation rules.</x:v>
      </x:c>
      <x:c r="Q154" s="14" t="n">
        <x:v>55</x:v>
      </x:c>
      <x:c r="R154" s="14" t="str"/>
      <x:c r="S154" s="14" t="str"/>
    </x:row>
    <x:row r="155" ht="64" customHeight="1">
      <x:c r="A155" s="14" t="n">
        <x:v>154</x:v>
      </x:c>
      <x:c r="B155" s="14" t="str">
        <x:v>New web-search addition</x:v>
      </x:c>
      <x:c r="C155" s="14" t="str">
        <x:v>Final Top 50</x:v>
      </x:c>
      <x:c r="D155" s="14" t="n">
        <x:v>2025</x:v>
      </x:c>
      <x:c r="E155" s="14" t="str">
        <x:v>Feasibility of AI-Assisted Programming for End-User Development</x:v>
      </x:c>
      <x:c r="F155" s="14" t="str">
        <x:v>Not captured in metadata pass</x:v>
      </x:c>
      <x:c r="G155" s="14" t="str">
        <x:v>arXiv</x:v>
      </x:c>
      <x:c r="H155" s="14" t="str">
        <x:v>End-user development / AI-assisted programming</x:v>
      </x:c>
      <x:c r="I155" s="14" t="str">
        <x:v>https://arxiv.org/abs/2512.05666</x:v>
      </x:c>
      <x:c r="J155" s="14" t="str">
        <x:v>https://arxiv.org/pdf/2512.05666</x:v>
      </x:c>
      <x:c r="K155" s="14" t="str">
        <x:v>Direct arXiv PDF</x:v>
      </x:c>
      <x:c r="L155" s="14" t="str">
        <x:v>Web search expansion, 2026-06-12</x:v>
      </x:c>
      <x:c r="M155" s="14" t="str"/>
      <x:c r="N155" s="14" t="str"/>
      <x:c r="O155" s="14" t="str">
        <x:v>arXiv:2512.05666</x:v>
      </x:c>
      <x:c r="P155" s="14" t="str">
        <x:v>New addition; relevant to EUD and AI-assisted coding/no-code boundary.</x:v>
      </x:c>
      <x:c r="Q155" s="14" t="n">
        <x:v>80</x:v>
      </x:c>
      <x:c r="R155" s="14" t="str"/>
      <x:c r="S155" s="14" t="str"/>
    </x:row>
    <x:row r="156" ht="64" customHeight="1">
      <x:c r="A156" s="14" t="n">
        <x:v>155</x:v>
      </x:c>
      <x:c r="B156" s="14" t="str">
        <x:v>New web-search addition</x:v>
      </x:c>
      <x:c r="C156" s="14" t="str">
        <x:v>Final Top 50</x:v>
      </x:c>
      <x:c r="D156" s="14" t="n">
        <x:v>2024</x:v>
      </x:c>
      <x:c r="E156" s="14" t="str">
        <x:v>Feasibility of Low-Code Development Platforms in Precision Agriculture: Opportunities, Challenges, and Future Directions</x:v>
      </x:c>
      <x:c r="F156" s="14" t="str">
        <x:v>MDPI metadata not fully captured in this pass</x:v>
      </x:c>
      <x:c r="G156" s="14" t="str">
        <x:v>Land (MDPI)</x:v>
      </x:c>
      <x:c r="H156" s="14" t="str">
        <x:v>Low-code domain application / precision agriculture</x:v>
      </x:c>
      <x:c r="I156" s="14" t="str">
        <x:v>https://www.mdpi.com/2073-445X/13/11/1758</x:v>
      </x:c>
      <x:c r="J156" s="14" t="str">
        <x:v>https://www.mdpi.com/2073-445X/13/11/1758/pdf</x:v>
      </x:c>
      <x:c r="K156" s="14" t="str">
        <x:v>Direct MDPI PDF</x:v>
      </x:c>
      <x:c r="L156" s="14" t="str">
        <x:v>Web search expansion, 2026-06-12</x:v>
      </x:c>
      <x:c r="M156" s="14" t="str"/>
      <x:c r="N156" s="14" t="str"/>
      <x:c r="O156" s="14" t="str">
        <x:v>MDPI Land 2024</x:v>
      </x:c>
      <x:c r="P156" s="14" t="str">
        <x:v>New addition; domain review/application in precision agriculture.</x:v>
      </x:c>
      <x:c r="Q156" s="14" t="n">
        <x:v>80</x:v>
      </x:c>
      <x:c r="R156" s="14" t="str"/>
      <x:c r="S156" s="14" t="str"/>
    </x:row>
    <x:row r="157" ht="64" customHeight="1">
      <x:c r="A157" s="14" t="n">
        <x:v>156</x:v>
      </x:c>
      <x:c r="B157" s="14" t="str">
        <x:v>New web-search addition</x:v>
      </x:c>
      <x:c r="C157" s="14" t="str">
        <x:v>Screened out from final top 50 but retained in expanded corpus</x:v>
      </x:c>
      <x:c r="D157" s="14" t="n">
        <x:v>2025</x:v>
      </x:c>
      <x:c r="E157" s="14" t="str">
        <x:v>A No-Code Educational Platform for Introducing Internet of Things and Embedded Systems</x:v>
      </x:c>
      <x:c r="F157" s="14" t="str">
        <x:v>MDPI metadata not fully captured in this pass</x:v>
      </x:c>
      <x:c r="G157" s="14" t="str">
        <x:v>IoT (MDPI)</x:v>
      </x:c>
      <x:c r="H157" s="14" t="str">
        <x:v>No-code education / IoT</x:v>
      </x:c>
      <x:c r="I157" s="14" t="str">
        <x:v>https://www.mdpi.com/2624-831X/6/3/42</x:v>
      </x:c>
      <x:c r="J157" s="14" t="str">
        <x:v>https://www.mdpi.com/2624-831X/6/3/42/pdf</x:v>
      </x:c>
      <x:c r="K157" s="14" t="str">
        <x:v>Direct MDPI PDF</x:v>
      </x:c>
      <x:c r="L157" s="14" t="str">
        <x:v>Web search expansion, 2026-06-12</x:v>
      </x:c>
      <x:c r="M157" s="14" t="str"/>
      <x:c r="N157" s="14" t="str"/>
      <x:c r="O157" s="14" t="str">
        <x:v>MDPI IoT 2025</x:v>
      </x:c>
      <x:c r="P157" s="14" t="str">
        <x:v>New addition; educational no-code IoT/embedded systems platform.</x:v>
      </x:c>
      <x:c r="Q157" s="14" t="n">
        <x:v>55</x:v>
      </x:c>
      <x:c r="R157" s="14" t="str"/>
      <x:c r="S157" s="14" t="str"/>
    </x:row>
    <x:row r="158" ht="64" customHeight="1">
      <x:c r="A158" s="14" t="n">
        <x:v>157</x:v>
      </x:c>
      <x:c r="B158" s="14" t="str">
        <x:v>New web-search addition</x:v>
      </x:c>
      <x:c r="C158" s="14" t="str">
        <x:v>Screened out from final top 50 but retained in expanded corpus</x:v>
      </x:c>
      <x:c r="D158" s="14" t="n">
        <x:v>2024</x:v>
      </x:c>
      <x:c r="E158" s="14" t="str">
        <x:v>Cinco de Bio: A Low-Code Platform for Domain-Specific Workflows for Biomedical Imaging Research</x:v>
      </x:c>
      <x:c r="F158" s="14" t="str">
        <x:v>Colm Brandon; Steve Boßelmann; Amandeep Singh; Stephen Ryan; Alexander Schieweck; Eanna Fennell; Bernhard Steffen; Tiziana Margaria</x:v>
      </x:c>
      <x:c r="G158" s="14" t="str">
        <x:v>BioMedInformatics (MDPI)</x:v>
      </x:c>
      <x:c r="H158" s="14" t="str">
        <x:v>Low-code biomedical workflows</x:v>
      </x:c>
      <x:c r="I158" s="14" t="str">
        <x:v>https://www.mdpi.com/2673-7426/4/3/102</x:v>
      </x:c>
      <x:c r="J158" s="14" t="str">
        <x:v>https://www.mdpi.com/2673-7426/4/3/102/pdf</x:v>
      </x:c>
      <x:c r="K158" s="14" t="str">
        <x:v>Direct MDPI PDF</x:v>
      </x:c>
      <x:c r="L158" s="14" t="str">
        <x:v>Web search expansion, 2026-06-12</x:v>
      </x:c>
      <x:c r="M158" s="14" t="str"/>
      <x:c r="N158" s="14" t="str"/>
      <x:c r="O158" s="14" t="str">
        <x:v>MDPI BioMedInformatics 2024</x:v>
      </x:c>
      <x:c r="P158" s="14" t="str">
        <x:v>New addition; domain-specific low-code biomedical workflow platform.</x:v>
      </x:c>
      <x:c r="Q158" s="14" t="n">
        <x:v>55</x:v>
      </x:c>
      <x:c r="R158" s="14" t="str"/>
      <x:c r="S158" s="14" t="str"/>
    </x:row>
    <x:row r="159" ht="64" customHeight="1">
      <x:c r="A159" s="14" t="n">
        <x:v>158</x:v>
      </x:c>
      <x:c r="B159" s="14" t="str">
        <x:v>New web-search addition</x:v>
      </x:c>
      <x:c r="C159" s="14" t="str">
        <x:v>Screened out from final top 50 but retained in expanded corpus</x:v>
      </x:c>
      <x:c r="D159" s="14" t="n">
        <x:v>2024</x:v>
      </x:c>
      <x:c r="E159" s="14" t="str">
        <x:v>Transforming Business with Low-Code and No-Code</x:v>
      </x:c>
      <x:c r="F159" s="14" t="str">
        <x:v>Nicholas Berente; Dirk Hovorka; Eva Ruhe; others</x:v>
      </x:c>
      <x:c r="G159" s="14" t="str">
        <x:v>MIS Quarterly Executive</x:v>
      </x:c>
      <x:c r="H159" s="14" t="str">
        <x:v>Business transformation / editorial framing</x:v>
      </x:c>
      <x:c r="I159" s="14" t="str">
        <x:v>https://aisel.aisnet.org/misqe/vol23/iss4/6/</x:v>
      </x:c>
      <x:c r="J159" s="14" t="str">
        <x:v>https://aisel.aisnet.org/cgi/viewcontent.cgi?article=1597&amp;context=misqe</x:v>
      </x:c>
      <x:c r="K159" s="14" t="str">
        <x:v>Direct AIS eLibrary PDF</x:v>
      </x:c>
      <x:c r="L159" s="14" t="str">
        <x:v>Web search expansion, 2026-06-12</x:v>
      </x:c>
      <x:c r="M159" s="14" t="str"/>
      <x:c r="N159" s="14" t="str"/>
      <x:c r="O159" s="14" t="str">
        <x:v>MISQE 2024</x:v>
      </x:c>
      <x:c r="P159" s="14" t="str">
        <x:v>New addition; special issue editorial/background source.</x:v>
      </x:c>
      <x:c r="Q159" s="14" t="n">
        <x:v>55</x:v>
      </x:c>
      <x:c r="R159" s="14" t="str"/>
      <x:c r="S159" s="14" t="str"/>
    </x:row>
    <x:row r="160" ht="64" customHeight="1">
      <x:c r="A160" s="14" t="n">
        <x:v>159</x:v>
      </x:c>
      <x:c r="B160" s="14" t="str">
        <x:v>New web-search addition</x:v>
      </x:c>
      <x:c r="C160" s="14" t="str">
        <x:v>Screened out from final top 50 but retained in expanded corpus</x:v>
      </x:c>
      <x:c r="D160" s="14" t="n">
        <x:v>2023</x:v>
      </x:c>
      <x:c r="E160" s="14" t="str">
        <x:v>Democratizing artificial intelligence: How no-code AI can leverage machine learning operations</x:v>
      </x:c>
      <x:c r="F160" s="14" t="str">
        <x:v>Not captured in metadata pass</x:v>
      </x:c>
      <x:c r="G160" s="14" t="str">
        <x:v>Business Horizons</x:v>
      </x:c>
      <x:c r="H160" s="14" t="str">
        <x:v>No-code AI / MLOps</x:v>
      </x:c>
      <x:c r="I160" s="14" t="str">
        <x:v>https://doi.org/10.1016/j.bushor.2023.04.003</x:v>
      </x:c>
      <x:c r="J160" s="14" t="str"/>
      <x:c r="K160" s="14" t="str">
        <x:v>Article DOI only</x:v>
      </x:c>
      <x:c r="L160" s="14" t="str">
        <x:v>Web search expansion, 2026-06-12</x:v>
      </x:c>
      <x:c r="M160" s="14" t="str"/>
      <x:c r="N160" s="14" t="str"/>
      <x:c r="O160" s="14" t="str">
        <x:v>Business Horizons 2023</x:v>
      </x:c>
      <x:c r="P160" s="14" t="str">
        <x:v>New addition; no-code AI and MLOps conceptual/practitioner paper.</x:v>
      </x:c>
      <x:c r="Q160" s="14" t="n">
        <x:v>55</x:v>
      </x:c>
      <x:c r="R160" s="14" t="str"/>
      <x:c r="S160" s="14" t="str"/>
    </x:row>
    <x:row r="161" ht="64" customHeight="1">
      <x:c r="A161" s="14" t="n">
        <x:v>160</x:v>
      </x:c>
      <x:c r="B161" s="14" t="str">
        <x:v>New web-search addition</x:v>
      </x:c>
      <x:c r="C161" s="14" t="str">
        <x:v>Final Top 50</x:v>
      </x:c>
      <x:c r="D161" s="14" t="n">
        <x:v>2026</x:v>
      </x:c>
      <x:c r="E161" s="14" t="str">
        <x:v>Low-Code and No-Code Tools: A Valuable Aid or a Potential Threat to Professional Developers?</x:v>
      </x:c>
      <x:c r="F161" s="14" t="str">
        <x:v>Not captured in metadata pass</x:v>
      </x:c>
      <x:c r="G161" s="14" t="str">
        <x:v>Software: Practice and Experience (Wiley)</x:v>
      </x:c>
      <x:c r="H161" s="14" t="str">
        <x:v>Professional developers / systematic mapping</x:v>
      </x:c>
      <x:c r="I161" s="14" t="str">
        <x:v>https://onlinelibrary.wiley.com/doi/full/10.1002/spe.70067</x:v>
      </x:c>
      <x:c r="J161" s="14" t="str"/>
      <x:c r="K161" s="14" t="str">
        <x:v>Open article page</x:v>
      </x:c>
      <x:c r="L161" s="14" t="str">
        <x:v>Web search expansion, 2026-06-12</x:v>
      </x:c>
      <x:c r="M161" s="14" t="str"/>
      <x:c r="N161" s="14" t="str"/>
      <x:c r="O161" s="14" t="str">
        <x:v>Wiley Software: Practice and Experience 2026</x:v>
      </x:c>
      <x:c r="P161" s="14" t="str">
        <x:v>New addition; systematic mapping study from 2026.</x:v>
      </x:c>
      <x:c r="Q161" s="14" t="n">
        <x:v>80</x:v>
      </x:c>
      <x:c r="R161" s="14" t="str"/>
      <x:c r="S161" s="14" t="str"/>
    </x:row>
    <x:row r="162" ht="64" customHeight="1">
      <x:c r="A162" s="14" t="n">
        <x:v>161</x:v>
      </x:c>
      <x:c r="B162" s="14" t="str">
        <x:v>New web-search addition</x:v>
      </x:c>
      <x:c r="C162" s="14" t="str">
        <x:v>Screened out from final top 50 but retained in expanded corpus</x:v>
      </x:c>
      <x:c r="D162" s="14" t="n">
        <x:v>2026</x:v>
      </x:c>
      <x:c r="E162" s="14" t="str">
        <x:v>Understanding the Effects of GenAI as No-Code Alternative for Introductory Programming</x:v>
      </x:c>
      <x:c r="F162" s="14" t="str">
        <x:v>Not captured in metadata pass</x:v>
      </x:c>
      <x:c r="G162" s="14" t="str">
        <x:v>AAAI 2026</x:v>
      </x:c>
      <x:c r="H162" s="14" t="str">
        <x:v>GenAI as no-code alternative / education</x:v>
      </x:c>
      <x:c r="I162" s="14" t="str">
        <x:v>https://ojs.aaai.org/index.php/AAAI/article/view/41516</x:v>
      </x:c>
      <x:c r="J162" s="14" t="str">
        <x:v>https://ojs.aaai.org/index.php/AAAI/article/view/41516/45477</x:v>
      </x:c>
      <x:c r="K162" s="14" t="str">
        <x:v>Direct AAAI PDF</x:v>
      </x:c>
      <x:c r="L162" s="14" t="str">
        <x:v>Web search expansion, 2026-06-12</x:v>
      </x:c>
      <x:c r="M162" s="14" t="str"/>
      <x:c r="N162" s="14" t="str"/>
      <x:c r="O162" s="14" t="str">
        <x:v>AAAI 2026</x:v>
      </x:c>
      <x:c r="P162" s="14" t="str">
        <x:v>New addition; GenAI as no-code alternative in programming education.</x:v>
      </x:c>
      <x:c r="Q162" s="14" t="n">
        <x:v>55</x:v>
      </x:c>
      <x:c r="R162" s="14" t="str"/>
      <x:c r="S162" s="14" t="str"/>
    </x:row>
    <x:row r="163" ht="64" customHeight="1">
      <x:c r="A163" s="14" t="n">
        <x:v>162</x:v>
      </x:c>
      <x:c r="B163" s="14" t="str">
        <x:v>New web-search addition</x:v>
      </x:c>
      <x:c r="C163" s="14" t="str">
        <x:v>Screened out from final top 50 but retained in expanded corpus</x:v>
      </x:c>
      <x:c r="D163" s="14" t="n">
        <x:v>2025</x:v>
      </x:c>
      <x:c r="E163" s="14" t="str">
        <x:v>Bridging the Gap: Low-Code Platforms and the Future of ERP Customization</x:v>
      </x:c>
      <x:c r="F163" s="14" t="str">
        <x:v>Not captured in metadata pass</x:v>
      </x:c>
      <x:c r="G163" s="14" t="str">
        <x:v>AMCIS 2025</x:v>
      </x:c>
      <x:c r="H163" s="14" t="str">
        <x:v>ERP customization / enterprise low-code</x:v>
      </x:c>
      <x:c r="I163" s="14" t="str">
        <x:v>https://lswi.de/assets/downloads/publikationen/109/Abendroth_Bender_2025_Bridging_the_Gap_Low-Code_Platforms_and_the_Future_of_ERP.pdf</x:v>
      </x:c>
      <x:c r="J163" s="14" t="str">
        <x:v>https://lswi.de/assets/downloads/publikationen/109/Abendroth_Bender_2025_Bridging_the_Gap_Low-Code_Platforms_and_the_Future_of_ERP.pdf</x:v>
      </x:c>
      <x:c r="K163" s="14" t="str">
        <x:v>Direct PDF</x:v>
      </x:c>
      <x:c r="L163" s="14" t="str">
        <x:v>Web search expansion, 2026-06-12</x:v>
      </x:c>
      <x:c r="M163" s="14" t="str"/>
      <x:c r="N163" s="14" t="str"/>
      <x:c r="O163" s="14" t="str">
        <x:v>AMCIS 2025 author/institution PDF</x:v>
      </x:c>
      <x:c r="P163" s="14" t="str">
        <x:v>New addition; enterprise ERP low-code customization.</x:v>
      </x:c>
      <x:c r="Q163" s="14" t="n">
        <x:v>55</x:v>
      </x:c>
      <x:c r="R163" s="14" t="str"/>
      <x:c r="S163" s="14" t="str"/>
    </x:row>
    <x:row r="164" ht="64" customHeight="1">
      <x:c r="A164" s="14" t="n">
        <x:v>163</x:v>
      </x:c>
      <x:c r="B164" s="14" t="str">
        <x:v>New web-search addition</x:v>
      </x:c>
      <x:c r="C164" s="14" t="str">
        <x:v>Screened out from final top 50 but retained in expanded corpus</x:v>
      </x:c>
      <x:c r="D164" s="14" t="n">
        <x:v>2025</x:v>
      </x:c>
      <x:c r="E164" s="14" t="str">
        <x:v>Low-Code/No-Code Platforms: From Concept to Creation</x:v>
      </x:c>
      <x:c r="F164" s="14" t="str">
        <x:v>Not captured in metadata pass</x:v>
      </x:c>
      <x:c r="G164" s="14" t="str">
        <x:v>IJERT</x:v>
      </x:c>
      <x:c r="H164" s="14" t="str">
        <x:v>LCNC overview</x:v>
      </x:c>
      <x:c r="I164" s="14" t="str">
        <x:v>https://www.ijert.org/low-code-no-code-platforms-from-concept-to-creation</x:v>
      </x:c>
      <x:c r="J164" s="14" t="str"/>
      <x:c r="K164" s="14" t="str">
        <x:v>Article page</x:v>
      </x:c>
      <x:c r="L164" s="14" t="str">
        <x:v>Web search expansion, 2026-06-12</x:v>
      </x:c>
      <x:c r="M164" s="14" t="str"/>
      <x:c r="N164" s="14" t="str"/>
      <x:c r="O164" s="14" t="str">
        <x:v>IJERT 2025</x:v>
      </x:c>
      <x:c r="P164" s="14" t="str">
        <x:v>New addition; overview-style, use cautiously.</x:v>
      </x:c>
      <x:c r="Q164" s="14" t="n">
        <x:v>55</x:v>
      </x:c>
      <x:c r="R164" s="14" t="str"/>
      <x:c r="S164" s="14" t="str"/>
    </x:row>
    <x:row r="165" ht="64" customHeight="1">
      <x:c r="A165" s="14" t="n">
        <x:v>164</x:v>
      </x:c>
      <x:c r="B165" s="14" t="str">
        <x:v>New web-search addition</x:v>
      </x:c>
      <x:c r="C165" s="14" t="str">
        <x:v>Screened out from final top 50 but retained in expanded corpus</x:v>
      </x:c>
      <x:c r="D165" s="14" t="n">
        <x:v>2025</x:v>
      </x:c>
      <x:c r="E165" s="14" t="str">
        <x:v>No-Code and Low-Code Approach: AI Data-Driven Python Based Web Development Course</x:v>
      </x:c>
      <x:c r="F165" s="14" t="str">
        <x:v>Not captured in metadata pass</x:v>
      </x:c>
      <x:c r="G165" s="14" t="str">
        <x:v>IJIEEB / MECS Press</x:v>
      </x:c>
      <x:c r="H165" s="14" t="str">
        <x:v>Education / web development course</x:v>
      </x:c>
      <x:c r="I165" s="14" t="str">
        <x:v>https://www.mecs-press.org/ijieeb/ijieeb-v17-n1/v17n1-4.html</x:v>
      </x:c>
      <x:c r="J165" s="14" t="str"/>
      <x:c r="K165" s="14" t="str">
        <x:v>Article page</x:v>
      </x:c>
      <x:c r="L165" s="14" t="str">
        <x:v>Web search expansion, 2026-06-12</x:v>
      </x:c>
      <x:c r="M165" s="14" t="str"/>
      <x:c r="N165" s="14" t="str"/>
      <x:c r="O165" s="14" t="str">
        <x:v>IJIEEB 2025</x:v>
      </x:c>
      <x:c r="P165" s="14" t="str">
        <x:v>New addition; course/education application.</x:v>
      </x:c>
      <x:c r="Q165" s="14" t="n">
        <x:v>55</x:v>
      </x:c>
      <x:c r="R165" s="14" t="str"/>
      <x:c r="S165" s="14" t="str"/>
    </x:row>
    <x:row r="166" ht="64" customHeight="1">
      <x:c r="A166" s="14" t="n">
        <x:v>165</x:v>
      </x:c>
      <x:c r="B166" s="14" t="str">
        <x:v>New web-search addition</x:v>
      </x:c>
      <x:c r="C166" s="14" t="str">
        <x:v>Screened out from final top 50 but retained in expanded corpus</x:v>
      </x:c>
      <x:c r="D166" s="14" t="n">
        <x:v>2026</x:v>
      </x:c>
      <x:c r="E166" s="14" t="str">
        <x:v>Model-Driven Development and Low-Code Platforms in Federated Healthcare Environments</x:v>
      </x:c>
      <x:c r="F166" s="14" t="str">
        <x:v>Not captured in metadata pass</x:v>
      </x:c>
      <x:c r="G166" s="14" t="str">
        <x:v>Springer</x:v>
      </x:c>
      <x:c r="H166" s="14" t="str">
        <x:v>Healthcare / federated low-code</x:v>
      </x:c>
      <x:c r="I166" s="14" t="str">
        <x:v>https://link.springer.com/chapter/10.1007/978-3-032-16837-5_15</x:v>
      </x:c>
      <x:c r="J166" s="14" t="str"/>
      <x:c r="K166" s="14" t="str">
        <x:v>Article page only</x:v>
      </x:c>
      <x:c r="L166" s="14" t="str">
        <x:v>Web search expansion, 2026-06-12</x:v>
      </x:c>
      <x:c r="M166" s="14" t="str"/>
      <x:c r="N166" s="14" t="str"/>
      <x:c r="O166" s="14" t="str">
        <x:v>Springer 2026</x:v>
      </x:c>
      <x:c r="P166" s="14" t="str">
        <x:v>New addition; no direct open PDF found in this pass.</x:v>
      </x:c>
      <x:c r="Q166" s="14" t="n">
        <x:v>55</x:v>
      </x:c>
      <x:c r="R166" s="14" t="str"/>
      <x:c r="S166" s="14" t="str"/>
    </x:row>
    <x:row r="167" ht="64" customHeight="1">
      <x:c r="A167" s="14" t="n">
        <x:v>166</x:v>
      </x:c>
      <x:c r="B167" s="14" t="str">
        <x:v>New web-search addition</x:v>
      </x:c>
      <x:c r="C167" s="14" t="str">
        <x:v>Screened out from final top 50 but retained in expanded corpus</x:v>
      </x:c>
      <x:c r="D167" s="14" t="n">
        <x:v>2024</x:v>
      </x:c>
      <x:c r="E167" s="14" t="str">
        <x:v>Low-Code / No-Code CI/CD Automation</x:v>
      </x:c>
      <x:c r="F167" s="14" t="str">
        <x:v>K. Muppaneni</x:v>
      </x:c>
      <x:c r="G167" s="14" t="str">
        <x:v>IJETCSIT</x:v>
      </x:c>
      <x:c r="H167" s="14" t="str">
        <x:v>DevOps / CI/CD automation</x:v>
      </x:c>
      <x:c r="I167" s="14" t="str">
        <x:v>https://www.ijetcsit.org/index.php/ijetcsit/article/view/667</x:v>
      </x:c>
      <x:c r="J167" s="14" t="str"/>
      <x:c r="K167" s="14" t="str">
        <x:v>Article page</x:v>
      </x:c>
      <x:c r="L167" s="14" t="str">
        <x:v>Web search expansion, 2026-06-12</x:v>
      </x:c>
      <x:c r="M167" s="14" t="str"/>
      <x:c r="N167" s="14" t="str"/>
      <x:c r="O167" s="14" t="str">
        <x:v>IJETCSIT 2024</x:v>
      </x:c>
      <x:c r="P167" s="14" t="str">
        <x:v>New addition; lower-priority venue, use cautiously.</x:v>
      </x:c>
      <x:c r="Q167" s="14" t="n">
        <x:v>55</x:v>
      </x:c>
      <x:c r="R167" s="14" t="str"/>
      <x:c r="S167" s="14" t="str"/>
    </x:row>
    <x:row r="168" ht="64" customHeight="1">
      <x:c r="A168" s="14" t="n">
        <x:v>167</x:v>
      </x:c>
      <x:c r="B168" s="14" t="str">
        <x:v>New web-search addition</x:v>
      </x:c>
      <x:c r="C168" s="14" t="str">
        <x:v>Screened out from final top 50 but retained in expanded corpus</x:v>
      </x:c>
      <x:c r="D168" s="14" t="n">
        <x:v>2025</x:v>
      </x:c>
      <x:c r="E168" s="14" t="str">
        <x:v>Evaluation and Design of Low Code/No Code App Development Platforms to be Used by Medical Professionals</x:v>
      </x:c>
      <x:c r="F168" s="14" t="str">
        <x:v>Godwin Ukeje</x:v>
      </x:c>
      <x:c r="G168" s="14" t="str">
        <x:v>ResearchGate / thesis-style work</x:v>
      </x:c>
      <x:c r="H168" s="14" t="str">
        <x:v>Healthcare / platform evaluation</x:v>
      </x:c>
      <x:c r="I168" s="14" t="str">
        <x:v>https://www.researchgate.net/publication/389555592_Evaluation_and_Design_of_Low_CodeNo_Code_App_Development_Platforms_to_be_Used_by_Medical_Professionals</x:v>
      </x:c>
      <x:c r="J168" s="14" t="str"/>
      <x:c r="K168" s="14" t="str">
        <x:v>ResearchGate full-text page</x:v>
      </x:c>
      <x:c r="L168" s="14" t="str">
        <x:v>Web search expansion, 2026-06-12</x:v>
      </x:c>
      <x:c r="M168" s="14" t="str"/>
      <x:c r="N168" s="14" t="str"/>
      <x:c r="O168" s="14" t="str">
        <x:v>ResearchGate 2025</x:v>
      </x:c>
      <x:c r="P168" s="14" t="str">
        <x:v>New addition; likely thesis/preprint, not preferred for final top 50.</x:v>
      </x:c>
      <x:c r="Q168" s="14" t="n">
        <x:v>55</x:v>
      </x:c>
      <x:c r="R168" s="14" t="str"/>
      <x:c r="S168" s="14" t="str"/>
    </x:row>
    <x:row r="169" ht="64" customHeight="1">
      <x:c r="A169" s="14" t="n">
        <x:v>168</x:v>
      </x:c>
      <x:c r="B169" s="14" t="str">
        <x:v>New web-search addition</x:v>
      </x:c>
      <x:c r="C169" s="14" t="str">
        <x:v>Screened out from final top 50 but retained in expanded corpus</x:v>
      </x:c>
      <x:c r="D169" s="14" t="n">
        <x:v>2025</x:v>
      </x:c>
      <x:c r="E169" s="14" t="str">
        <x:v>Pursuing Value Creation through Low-Code AI</x:v>
      </x:c>
      <x:c r="F169" s="14" t="str">
        <x:v>Maria Kandaurova</x:v>
      </x:c>
      <x:c r="G169" s="14" t="str">
        <x:v>Chalmers University master's thesis</x:v>
      </x:c>
      <x:c r="H169" s="14" t="str">
        <x:v>Low-code AI / value creation</x:v>
      </x:c>
      <x:c r="I169" s="14" t="str">
        <x:v>https://research.chalmers.se/publication/545423</x:v>
      </x:c>
      <x:c r="J169" s="14" t="str">
        <x:v>https://research.chalmers.se/publication/545423/file/545423_Fulltext.pdf</x:v>
      </x:c>
      <x:c r="K169" s="14" t="str">
        <x:v>Direct institutional PDF</x:v>
      </x:c>
      <x:c r="L169" s="14" t="str">
        <x:v>Web search expansion, 2026-06-12</x:v>
      </x:c>
      <x:c r="M169" s="14" t="str"/>
      <x:c r="N169" s="14" t="str"/>
      <x:c r="O169" s="14" t="str">
        <x:v>Chalmers 2025</x:v>
      </x:c>
      <x:c r="P169" s="14" t="str">
        <x:v>New addition; thesis, not core paper but useful background.</x:v>
      </x:c>
      <x:c r="Q169" s="14" t="n">
        <x:v>55</x:v>
      </x:c>
      <x:c r="R169" s="14" t="str"/>
      <x:c r="S169" s="14" t="str"/>
    </x:row>
    <x:row r="170" ht="64" customHeight="1">
      <x:c r="A170" s="14" t="n">
        <x:v>169</x:v>
      </x:c>
      <x:c r="B170" s="14" t="str">
        <x:v>New web-search addition</x:v>
      </x:c>
      <x:c r="C170" s="14" t="str">
        <x:v>Screened out from final top 50 but retained in expanded corpus</x:v>
      </x:c>
      <x:c r="D170" s="14" t="n">
        <x:v>2024</x:v>
      </x:c>
      <x:c r="E170" s="14" t="str">
        <x:v>Exploring the use of low-code software development in the manufacturing industry</x:v>
      </x:c>
      <x:c r="F170" s="14" t="str">
        <x:v>M. Henriksson</x:v>
      </x:c>
      <x:c r="G170" s="14" t="str">
        <x:v>DiVA portal thesis</x:v>
      </x:c>
      <x:c r="H170" s="14" t="str">
        <x:v>Manufacturing / low-code adoption</x:v>
      </x:c>
      <x:c r="I170" s="14" t="str">
        <x:v>https://www.diva-portal.org/smash/record.jsf?pid=diva2:1843901</x:v>
      </x:c>
      <x:c r="J170" s="14" t="str">
        <x:v>https://www.diva-portal.org/smash/get/diva2%3A1843901/FULLTEXT01.pdf</x:v>
      </x:c>
      <x:c r="K170" s="14" t="str">
        <x:v>Direct institutional PDF</x:v>
      </x:c>
      <x:c r="L170" s="14" t="str">
        <x:v>Web search expansion, 2026-06-12</x:v>
      </x:c>
      <x:c r="M170" s="14" t="str"/>
      <x:c r="N170" s="14" t="str"/>
      <x:c r="O170" s="14" t="str">
        <x:v>DiVA 2024</x:v>
      </x:c>
      <x:c r="P170" s="14" t="str">
        <x:v>New addition; thesis, not core paper but useful domain context.</x:v>
      </x:c>
      <x:c r="Q170" s="14" t="n">
        <x:v>55</x:v>
      </x:c>
      <x:c r="R170" s="14" t="str"/>
      <x:c r="S170" s="14" t="str"/>
    </x:row>
    <x:row r="171" ht="64" customHeight="1">
      <x:c r="A171" s="14" t="n">
        <x:v>170</x:v>
      </x:c>
      <x:c r="B171" s="14" t="str">
        <x:v>New web-search addition</x:v>
      </x:c>
      <x:c r="C171" s="14" t="str">
        <x:v>Screened out from final top 50 but retained in expanded corpus</x:v>
      </x:c>
      <x:c r="D171" s="14" t="n">
        <x:v>2025</x:v>
      </x:c>
      <x:c r="E171" s="14" t="str">
        <x:v>Citizen Development, Low-Code/No-Code Platforms, and the Evolution of Generative AI in Software Development</x:v>
      </x:c>
      <x:c r="F171" s="14" t="str">
        <x:v>J. T. Sodano; Joanna F. DeFranco; Phil Laplante</x:v>
      </x:c>
      <x:c r="G171" s="14" t="str">
        <x:v>Computer (IEEE Computer Society)</x:v>
      </x:c>
      <x:c r="H171" s="14" t="str">
        <x:v>Citizen development / GenAI governance</x:v>
      </x:c>
      <x:c r="I171" s="14" t="str">
        <x:v>https://doi.org/10.1109/MC.2025.3547073</x:v>
      </x:c>
      <x:c r="J171" s="14" t="str"/>
      <x:c r="K171" s="14" t="str">
        <x:v>Article DOI only</x:v>
      </x:c>
      <x:c r="L171" s="14" t="str">
        <x:v>Web search expansion, 2026-06-12</x:v>
      </x:c>
      <x:c r="M171" s="14" t="str"/>
      <x:c r="N171" s="14" t="str"/>
      <x:c r="O171" s="14" t="str">
        <x:v>IEEE Computer 58(5), 101-104, 2025</x:v>
      </x:c>
      <x:c r="P171" s="14" t="str">
        <x:v>New addition; short IEEE Computer article on citizen development, LCNC, GenAI, governance and security.</x:v>
      </x:c>
      <x:c r="Q171" s="14" t="n">
        <x:v>55</x:v>
      </x:c>
      <x:c r="R171" s="14" t="str"/>
      <x:c r="S171" s="14" t="str"/>
    </x:row>
    <x:row r="172" ht="64" customHeight="1"/>
    <x:row r="173" ht="64" customHeight="1"/>
    <x:row r="174" ht="64" customHeight="1"/>
    <x:row r="175" ht="64" customHeight="1"/>
    <x:row r="176" ht="64" customHeight="1"/>
    <x:row r="177" ht="64" customHeight="1"/>
    <x:row r="178" ht="64" customHeight="1"/>
    <x:row r="179" ht="64" customHeight="1"/>
    <x:row r="180" ht="64" customHeight="1"/>
    <x:row r="181" ht="64" customHeight="1"/>
    <x:row r="182" ht="64" customHeight="1"/>
    <x:row r="183" ht="64" customHeight="1"/>
    <x:row r="184" ht="64" customHeight="1"/>
    <x:row r="185" ht="64" customHeight="1"/>
    <x:row r="186" ht="64" customHeight="1"/>
    <x:row r="187" ht="64" customHeight="1"/>
    <x:row r="188" ht="64" customHeight="1"/>
    <x:row r="189" ht="64" customHeight="1"/>
    <x:row r="190" ht="64" customHeight="1"/>
    <x:row r="191" ht="64" customHeight="1"/>
    <x:row r="192" ht="64" customHeight="1"/>
    <x:row r="193" ht="64" customHeight="1"/>
    <x:row r="194" ht="64" customHeight="1"/>
    <x:row r="195" ht="64" customHeight="1"/>
    <x:row r="196" ht="64" customHeight="1"/>
    <x:row r="197" ht="64" customHeight="1"/>
    <x:row r="198" ht="64" customHeight="1"/>
    <x:row r="199" ht="64" customHeight="1"/>
    <x:row r="200" ht="64" customHeight="1"/>
  </x:sheetData>
  <x:conditionalFormatting sqref="C2:C171">
    <x:cfRule type="expression" dxfId="0" priority="1">
      <x:formula>$C2="Final Top 50"</x:formula>
    </x:cfRule>
    <x:cfRule type="expression" dxfId="1" priority="2">
      <x:formula>$C2="Duplicate/low-fit flagged"</x:formula>
    </x:cfRule>
  </x:conditionalFormatting>
  <x:conditionalFormatting sqref="J2:J171">
    <x:cfRule type="expression" dxfId="2" priority="3">
      <x:formula>LEN($J2)&gt;0</x:formula>
    </x:cfRule>
  </x:conditionalFormatting>
  <x:pageMargins left="0.7" right="0.7" top="0.75" bottom="0.75" header="0.3" footer="0.3"/>
  <x:tableParts count="1">
    <x:tablePart xmlns:r="http://schemas.openxmlformats.org/officeDocument/2006/relationships" r:id="R335473fd00834724"/>
  </x:tableParts>
</x:worksheet>
</file>

<file path=xl/worksheets/sheet4.xml><?xml version="1.0" encoding="utf-8"?>
<x:worksheet xmlns:x="http://schemas.openxmlformats.org/spreadsheetml/2006/main">
  <x:sheetFormatPr defaultRowHeight="15"/>
  <x:cols>
    <x:col min="1" max="1" width="10" hidden="0" customWidth="1"/>
    <x:col min="2" max="2" width="8" hidden="0" customWidth="1"/>
    <x:col min="3" max="3" width="42" hidden="0" customWidth="1"/>
    <x:col min="4" max="4" width="30" hidden="0" customWidth="1"/>
    <x:col min="5" max="5" width="24" hidden="0" customWidth="1"/>
    <x:col min="6" max="6" width="24" hidden="0" customWidth="1"/>
    <x:col min="7" max="7" width="24" hidden="0" customWidth="1"/>
    <x:col min="8" max="8" width="38" hidden="0" customWidth="1"/>
    <x:col min="9" max="9" width="38" hidden="0" customWidth="1"/>
    <x:col min="10" max="10" width="22" hidden="0" customWidth="1"/>
    <x:col min="11" max="11" width="44" hidden="0" customWidth="1"/>
    <x:col min="12" max="12" width="28" hidden="0" customWidth="1"/>
  </x:cols>
  <x:sheetData>
    <x:row r="1" ht="32" customHeight="1">
      <x:c r="A1" s="6" t="str">
        <x:v>Add_ID</x:v>
      </x:c>
      <x:c r="B1" s="36" t="str">
        <x:v>Year</x:v>
      </x:c>
      <x:c r="C1" s="6" t="str">
        <x:v>Title</x:v>
      </x:c>
      <x:c r="D1" s="6" t="str">
        <x:v>Authors</x:v>
      </x:c>
      <x:c r="E1" s="6" t="str">
        <x:v>Venue</x:v>
      </x:c>
      <x:c r="F1" s="6" t="str">
        <x:v>Theme</x:v>
      </x:c>
      <x:c r="G1" s="6" t="str">
        <x:v>Quality_Note</x:v>
      </x:c>
      <x:c r="H1" s="6" t="str">
        <x:v>Article_URL</x:v>
      </x:c>
      <x:c r="I1" s="6" t="str">
        <x:v>Direct_PDF_URL</x:v>
      </x:c>
      <x:c r="J1" s="6" t="str">
        <x:v>Access_Status</x:v>
      </x:c>
      <x:c r="K1" s="6" t="str">
        <x:v>Why_or_Notes</x:v>
      </x:c>
      <x:c r="L1" s="6" t="str">
        <x:v>Source_Citation</x:v>
      </x:c>
    </x:row>
    <x:row r="2" ht="64" customHeight="1">
      <x:c r="A2" s="14" t="str">
        <x:v>N01</x:v>
      </x:c>
      <x:c r="B2" s="14" t="n">
        <x:v>2025</x:v>
      </x:c>
      <x:c r="C2" s="14" t="str">
        <x:v>AIAP: A No-Code Workflow Builder for Non-Experts with Natural Language and Multi-Agent Collaboration</x:v>
      </x:c>
      <x:c r="D2" s="14" t="str">
        <x:v>Hyunjn An; Yongwon Kim; Wonduk Seo; Joonil Park; Daye Kang; Changhoon Oh; Dokyun Kim; Seunghyun Lee</x:v>
      </x:c>
      <x:c r="E2" s="14" t="str">
        <x:v>arXiv / OpenReview preprint</x:v>
      </x:c>
      <x:c r="F2" s="14" t="str">
        <x:v>No-code AI workflow builders</x:v>
      </x:c>
      <x:c r="G2" s="14" t="str">
        <x:v>Preprint with user-study evidence</x:v>
      </x:c>
      <x:c r="H2" s="14" t="str">
        <x:v>https://arxiv.org/abs/2508.02470</x:v>
      </x:c>
      <x:c r="I2" s="14" t="str">
        <x:v>https://arxiv.org/pdf/2508.02470</x:v>
      </x:c>
      <x:c r="J2" s="14" t="str">
        <x:v>Direct arXiv PDF</x:v>
      </x:c>
      <x:c r="K2" s="14" t="str">
        <x:v>Strong fit for AI-assisted no-code workflow construction and non-expert use. New addition; natural-language + visual workflow no-code AI platform with user study.</x:v>
      </x:c>
      <x:c r="L2" s="14" t="str">
        <x:v>arXiv:2508.02470</x:v>
      </x:c>
    </x:row>
    <x:row r="3" ht="64" customHeight="1">
      <x:c r="A3" s="14" t="str">
        <x:v>N02</x:v>
      </x:c>
      <x:c r="B3" s="14" t="n">
        <x:v>2024</x:v>
      </x:c>
      <x:c r="C3" s="14" t="str">
        <x:v>AutoGen Studio: A No-Code Developer Tool for Building and Debugging Multi-Agent Systems</x:v>
      </x:c>
      <x:c r="D3" s="14" t="str">
        <x:v>Adam Fourney; Gagan Bansal; Hussein Mozannar; Cheng Tan; Eduardo Salinas; Erkang Zhu; Friederike Niedtner; Grace Proebsting; Griffin Bassman; Jack Gerrits; Jacob Alber; Peter Chang; Ricky Loynd; Robert West; Victor Dibia; Ahmed Awadallah; Saleema Amershi</x:v>
      </x:c>
      <x:c r="E3" s="14" t="str">
        <x:v>EMNLP 2024 System Demonstrations / ACL Anthology</x:v>
      </x:c>
      <x:c r="F3" s="14" t="str">
        <x:v>No-code multi-agent systems</x:v>
      </x:c>
      <x:c r="G3" s="14" t="str">
        <x:v>Peer-reviewed conference demo</x:v>
      </x:c>
      <x:c r="H3" s="14" t="str">
        <x:v>https://aclanthology.org/2024.emnlp-demo.8/</x:v>
      </x:c>
      <x:c r="I3" s="14" t="str">
        <x:v>https://aclanthology.org/2024.emnlp-demo.8.pdf</x:v>
      </x:c>
      <x:c r="J3" s="14" t="str">
        <x:v>Direct ACL Anthology PDF</x:v>
      </x:c>
      <x:c r="K3" s="14" t="str">
        <x:v>Central recent example of no-code agent-system construction and debugging. New addition; peer-reviewed demo paper with direct full text.</x:v>
      </x:c>
      <x:c r="L3" s="14" t="str">
        <x:v>ACL Anthology 2024.emnlp-demo.8</x:v>
      </x:c>
    </x:row>
    <x:row r="4" ht="64" customHeight="1">
      <x:c r="A4" s="14" t="str">
        <x:v>N03</x:v>
      </x:c>
      <x:c r="B4" s="14" t="n">
        <x:v>2025</x:v>
      </x:c>
      <x:c r="C4" s="14" t="str">
        <x:v>asanAI: In-Browser, No-Code, Offline-First Machine Learning Toolkit</x:v>
      </x:c>
      <x:c r="D4" s="14" t="str">
        <x:v>Archit Mundra; Alex Kaspar</x:v>
      </x:c>
      <x:c r="E4" s="14" t="str">
        <x:v>arXiv</x:v>
      </x:c>
      <x:c r="F4" s="14" t="str">
        <x:v>No-code machine learning tools</x:v>
      </x:c>
      <x:c r="G4" s="14" t="str">
        <x:v>Preprint/system paper</x:v>
      </x:c>
      <x:c r="H4" s="14" t="str">
        <x:v>https://arxiv.org/abs/2501.06226</x:v>
      </x:c>
      <x:c r="I4" s="14" t="str">
        <x:v>https://arxiv.org/pdf/2501.06226</x:v>
      </x:c>
      <x:c r="J4" s="14" t="str">
        <x:v>Direct arXiv PDF</x:v>
      </x:c>
      <x:c r="K4" s="14" t="str">
        <x:v>Useful domain case for democratized ML with no-code constraints. New addition; no-code ML toolkit emphasizing offline/browser-based accessibility.</x:v>
      </x:c>
      <x:c r="L4" s="14" t="str">
        <x:v>arXiv:2501.06226</x:v>
      </x:c>
    </x:row>
    <x:row r="5" ht="64" customHeight="1">
      <x:c r="A5" s="14" t="str">
        <x:v>N04</x:v>
      </x:c>
      <x:c r="B5" s="14" t="n">
        <x:v>2025</x:v>
      </x:c>
      <x:c r="C5" s="14" t="str">
        <x:v>Dash: A Low Code Development Platform for AI Applications in Industry</x:v>
      </x:c>
      <x:c r="D5" s="14" t="str">
        <x:v>Yifan Wang; Weijia Song; Yuting Yang; Charif Mahmoudi; Shashank Shekhar; Kenneth P. Birman</x:v>
      </x:c>
      <x:c r="E5" s="14" t="str">
        <x:v>arXiv / IEEE UEMCON version</x:v>
      </x:c>
      <x:c r="F5" s="14" t="str">
        <x:v>Low-code AI applications in industry</x:v>
      </x:c>
      <x:c r="G5" s="14" t="str">
        <x:v>Preprint of conference-style platform paper</x:v>
      </x:c>
      <x:c r="H5" s="14" t="str">
        <x:v>https://arxiv.org/abs/2505.21419</x:v>
      </x:c>
      <x:c r="I5" s="14" t="str">
        <x:v>https://arxiv.org/pdf/2505.21419</x:v>
      </x:c>
      <x:c r="J5" s="14" t="str">
        <x:v>Direct arXiv PDF</x:v>
      </x:c>
      <x:c r="K5" s="14" t="str">
        <x:v>Expands review beyond enterprise app-building into industrial AI platform design. New addition; industrial AI application platform.</x:v>
      </x:c>
      <x:c r="L5" s="14" t="str">
        <x:v>arXiv:2505.21419</x:v>
      </x:c>
    </x:row>
    <x:row r="6" ht="64" customHeight="1">
      <x:c r="A6" s="14" t="str">
        <x:v>N05</x:v>
      </x:c>
      <x:c r="B6" s="14" t="n">
        <x:v>2025</x:v>
      </x:c>
      <x:c r="C6" s="14" t="str">
        <x:v>Memory Management and Contextual Consistency for Long-Running Low-Code Agents</x:v>
      </x:c>
      <x:c r="D6" s="14" t="str">
        <x:v>Jiexi Xu</x:v>
      </x:c>
      <x:c r="E6" s="14" t="str">
        <x:v>arXiv</x:v>
      </x:c>
      <x:c r="F6" s="14" t="str">
        <x:v>Low-code AI agents reliability</x:v>
      </x:c>
      <x:c r="G6" s="14" t="str">
        <x:v>Preprint</x:v>
      </x:c>
      <x:c r="H6" s="14" t="str">
        <x:v>https://arxiv.org/abs/2509.25250</x:v>
      </x:c>
      <x:c r="I6" s="14" t="str">
        <x:v>https://arxiv.org/pdf/2509.25250</x:v>
      </x:c>
      <x:c r="J6" s="14" t="str">
        <x:v>Direct arXiv PDF</x:v>
      </x:c>
      <x:c r="K6" s="14" t="str">
        <x:v>Good for emerging research direction on robust low-code autonomous agents. New addition; focuses on memory, consistency and reliability in LCNC agents.</x:v>
      </x:c>
      <x:c r="L6" s="14" t="str">
        <x:v>arXiv:2509.25250</x:v>
      </x:c>
    </x:row>
    <x:row r="7" ht="64" customHeight="1">
      <x:c r="A7" s="14" t="str">
        <x:v>N06</x:v>
      </x:c>
      <x:c r="B7" s="14" t="n">
        <x:v>2025</x:v>
      </x:c>
      <x:c r="C7" s="14" t="str">
        <x:v>Agentic Metacognition: Designing a Self-Aware Low-Code Agent for Failure Prediction and Human Handoff</x:v>
      </x:c>
      <x:c r="D7" s="14" t="str">
        <x:v>Jiexi Xu</x:v>
      </x:c>
      <x:c r="E7" s="14" t="str">
        <x:v>arXiv</x:v>
      </x:c>
      <x:c r="F7" s="14" t="str">
        <x:v>Low-code AI agents reliability</x:v>
      </x:c>
      <x:c r="G7" s="14" t="str">
        <x:v>Preprint</x:v>
      </x:c>
      <x:c r="H7" s="14" t="str">
        <x:v>https://arxiv.org/abs/2509.19783</x:v>
      </x:c>
      <x:c r="I7" s="14" t="str">
        <x:v>https://arxiv.org/pdf/2509.19783</x:v>
      </x:c>
      <x:c r="J7" s="14" t="str">
        <x:v>Direct arXiv PDF</x:v>
      </x:c>
      <x:c r="K7" s="14" t="str">
        <x:v>Complements memory/reliability work with human-handoff and failure prediction. New addition; low-code agent monitoring and handoff.</x:v>
      </x:c>
      <x:c r="L7" s="14" t="str">
        <x:v>arXiv:2509.19783</x:v>
      </x:c>
    </x:row>
    <x:row r="8" ht="64" customHeight="1">
      <x:c r="A8" s="14" t="str">
        <x:v>N07</x:v>
      </x:c>
      <x:c r="B8" s="14" t="n">
        <x:v>2025</x:v>
      </x:c>
      <x:c r="C8" s="14" t="str">
        <x:v>A Configuration-First Framework for Reproducible, Low-Code Localization</x:v>
      </x:c>
      <x:c r="D8" s="14" t="str">
        <x:v>Tim Strnad; Blaž Bertalanič; Carolina Fortuna</x:v>
      </x:c>
      <x:c r="E8" s="14" t="str">
        <x:v>arXiv</x:v>
      </x:c>
      <x:c r="F8" s="14" t="str">
        <x:v>Low-code reproducible ML workflows</x:v>
      </x:c>
      <x:c r="G8" s="14" t="str">
        <x:v>Preprint with empirical comparison</x:v>
      </x:c>
      <x:c r="H8" s="14" t="str">
        <x:v>https://arxiv.org/abs/2510.25692</x:v>
      </x:c>
      <x:c r="I8" s="14" t="str">
        <x:v>https://arxiv.org/pdf/2510.25692</x:v>
      </x:c>
      <x:c r="J8" s="14" t="str">
        <x:v>Direct arXiv PDF</x:v>
      </x:c>
      <x:c r="K8" s="14" t="str">
        <x:v>Shows LCNC applied to reproducible scientific/ML pipelines. New addition; low-code reproducibility framework for localization workflows.</x:v>
      </x:c>
      <x:c r="L8" s="14" t="str">
        <x:v>arXiv:2510.25692</x:v>
      </x:c>
    </x:row>
    <x:row r="9" ht="64" customHeight="1">
      <x:c r="A9" s="14" t="str">
        <x:v>N08</x:v>
      </x:c>
      <x:c r="B9" s="14" t="n">
        <x:v>2024</x:v>
      </x:c>
      <x:c r="C9" s="14" t="str">
        <x:v>Towards No-Code Programming of Cobots: Experiments with Code Synthesis by Large Code Models for Conversational Programming</x:v>
      </x:c>
      <x:c r="D9" s="14" t="str">
        <x:v>Chalamalasetti Kranti; Sherzod Hakimov; David Schlangen</x:v>
      </x:c>
      <x:c r="E9" s="14" t="str">
        <x:v>arXiv / ITL4HRI workshop</x:v>
      </x:c>
      <x:c r="F9" s="14" t="str">
        <x:v>No-code robotics/cobot programming</x:v>
      </x:c>
      <x:c r="G9" s="14" t="str">
        <x:v>Workshop/preprint with experiments</x:v>
      </x:c>
      <x:c r="H9" s="14" t="str">
        <x:v>https://arxiv.org/abs/2409.11041</x:v>
      </x:c>
      <x:c r="I9" s="14" t="str">
        <x:v>https://arxiv.org/pdf/2409.11041</x:v>
      </x:c>
      <x:c r="J9" s="14" t="str">
        <x:v>Direct arXiv PDF</x:v>
      </x:c>
      <x:c r="K9" s="14" t="str">
        <x:v>Important cross-domain example of no-code programming through LLM code synthesis. New addition; natural-language programming for collaborative robots.</x:v>
      </x:c>
      <x:c r="L9" s="14" t="str">
        <x:v>arXiv:2409.11041</x:v>
      </x:c>
    </x:row>
    <x:row r="10" ht="64" customHeight="1">
      <x:c r="A10" s="14" t="str">
        <x:v>N09</x:v>
      </x:c>
      <x:c r="B10" s="14" t="n">
        <x:v>2025</x:v>
      </x:c>
      <x:c r="C10" s="14" t="str">
        <x:v>Improving the Developer Experience with a Low-Code Process Modelling Language</x:v>
      </x:c>
      <x:c r="D10" s="14" t="str">
        <x:v>Henrique Henriques; Hugo Lourenço; Vasco Amaral; Miguel Goulão</x:v>
      </x:c>
      <x:c r="E10" s="14" t="str">
        <x:v>arXiv / ACM-related empirical evaluation</x:v>
      </x:c>
      <x:c r="F10" s="14" t="str">
        <x:v>Low-code developer experience/usability</x:v>
      </x:c>
      <x:c r="G10" s="14" t="str">
        <x:v>Empirical study/preprint</x:v>
      </x:c>
      <x:c r="H10" s="14" t="str">
        <x:v>https://arxiv.org/abs/2508.06299</x:v>
      </x:c>
      <x:c r="I10" s="14" t="str">
        <x:v>https://arxiv.org/pdf/2508.06299</x:v>
      </x:c>
      <x:c r="J10" s="14" t="str">
        <x:v>Direct arXiv PDF</x:v>
      </x:c>
      <x:c r="K10" s="14" t="str">
        <x:v>Strong empirical DX/usability paper for low-code platforms. New addition; evaluates improved low-code process modeling language with practitioners.</x:v>
      </x:c>
      <x:c r="L10" s="14" t="str">
        <x:v>arXiv:2508.06299</x:v>
      </x:c>
    </x:row>
    <x:row r="11" ht="64" customHeight="1">
      <x:c r="A11" s="14" t="str">
        <x:v>N10</x:v>
      </x:c>
      <x:c r="B11" s="14" t="n">
        <x:v>2024</x:v>
      </x:c>
      <x:c r="C11" s="14" t="str">
        <x:v>Towards the interoperability of low-code platforms</x:v>
      </x:c>
      <x:c r="D11" s="14" t="str">
        <x:v>Iván Alfonso; Aaron Conrardy; Jordi Cabot</x:v>
      </x:c>
      <x:c r="E11" s="14" t="str">
        <x:v>arXiv</x:v>
      </x:c>
      <x:c r="F11" s="14" t="str">
        <x:v>Low-code platform interoperability</x:v>
      </x:c>
      <x:c r="G11" s="14" t="str">
        <x:v>Preprint / model-driven engineering paper</x:v>
      </x:c>
      <x:c r="H11" s="14" t="str">
        <x:v>https://arxiv.org/abs/2412.05075</x:v>
      </x:c>
      <x:c r="I11" s="14" t="str">
        <x:v>https://arxiv.org/pdf/2412.05075</x:v>
      </x:c>
      <x:c r="J11" s="14" t="str">
        <x:v>Direct arXiv PDF</x:v>
      </x:c>
      <x:c r="K11" s="14" t="str">
        <x:v>Highly relevant to review themes around portability, lock-in and model-driven LCNC. New addition; addresses vendor lock-in/interoperability with BESSER and model migration.</x:v>
      </x:c>
      <x:c r="L11" s="14" t="str">
        <x:v>arXiv:2412.05075</x:v>
      </x:c>
    </x:row>
    <x:row r="12" ht="64" customHeight="1">
      <x:c r="A12" s="14" t="str">
        <x:v>N11</x:v>
      </x:c>
      <x:c r="B12" s="14" t="n">
        <x:v>2025</x:v>
      </x:c>
      <x:c r="C12" s="14" t="str">
        <x:v>Beyond Text: Implementing Multimodal Large Language Model-Powered Multi-Agent Systems Using a No-Code Platform</x:v>
      </x:c>
      <x:c r="D12" s="14" t="str">
        <x:v>Cheonsu Jeong</x:v>
      </x:c>
      <x:c r="E12" s="14" t="str">
        <x:v>Journal of Intelligence and Information Systems</x:v>
      </x:c>
      <x:c r="F12" s="14" t="str">
        <x:v>No-code multimodal LLM agents</x:v>
      </x:c>
      <x:c r="G12" s="14" t="str">
        <x:v>Journal article + arXiv copy</x:v>
      </x:c>
      <x:c r="H12" s="14" t="str">
        <x:v>https://arxiv.org/abs/2501.00750</x:v>
      </x:c>
      <x:c r="I12" s="14" t="str">
        <x:v>https://arxiv.org/pdf/2501.00750</x:v>
      </x:c>
      <x:c r="J12" s="14" t="str">
        <x:v>Direct arXiv PDF</x:v>
      </x:c>
      <x:c r="K12" s="14" t="str">
        <x:v>Good enterprise AI/no-code multi-agent application study. New addition; multimodal LLM-based no-code multi-agent system.</x:v>
      </x:c>
      <x:c r="L12" s="14" t="str">
        <x:v>arXiv:2501.00750; JIIS 2025</x:v>
      </x:c>
    </x:row>
    <x:row r="13" ht="64" customHeight="1">
      <x:c r="A13" s="14" t="str">
        <x:v>N12</x:v>
      </x:c>
      <x:c r="B13" s="14" t="n">
        <x:v>2025</x:v>
      </x:c>
      <x:c r="C13" s="14" t="str">
        <x:v>MoT: A Model-Driven Low-Code Approach for Simplifying Cloud-of-Things Application Development</x:v>
      </x:c>
      <x:c r="D13" s="14" t="str">
        <x:v>Not captured in metadata pass</x:v>
      </x:c>
      <x:c r="E13" s="14" t="str">
        <x:v>arXiv</x:v>
      </x:c>
      <x:c r="F13" s="14" t="str">
        <x:v>Model-driven low-code / Cloud-of-Things</x:v>
      </x:c>
      <x:c r="G13" s="14" t="str">
        <x:v>Preprint</x:v>
      </x:c>
      <x:c r="H13" s="14" t="str">
        <x:v>https://arxiv.org/abs/2512.14613</x:v>
      </x:c>
      <x:c r="I13" s="14" t="str">
        <x:v>https://arxiv.org/pdf/2512.14613</x:v>
      </x:c>
      <x:c r="J13" s="14" t="str">
        <x:v>Direct arXiv PDF</x:v>
      </x:c>
      <x:c r="K13" s="14" t="str">
        <x:v>Relevant domain case for model-driven LCNC and IoT/cloud systems. New addition; low-code approach for Cloud-of-Things application development.</x:v>
      </x:c>
      <x:c r="L13" s="14" t="str">
        <x:v>arXiv:2512.14613</x:v>
      </x:c>
    </x:row>
    <x:row r="14" ht="64" customHeight="1">
      <x:c r="A14" s="14" t="str">
        <x:v>N13</x:v>
      </x:c>
      <x:c r="B14" s="14" t="n">
        <x:v>2026</x:v>
      </x:c>
      <x:c r="C14" s="14" t="str">
        <x:v>The Trilingual Triad Framework: Integrating Design, AI, and Domain Knowledge in No-code AI Smart City Course</x:v>
      </x:c>
      <x:c r="D14" s="14" t="str">
        <x:v>Not captured in metadata pass</x:v>
      </x:c>
      <x:c r="E14" s="14" t="str">
        <x:v>arXiv</x:v>
      </x:c>
      <x:c r="F14" s="14" t="str">
        <x:v>No-code AI education / smart cities</x:v>
      </x:c>
      <x:c r="G14" s="14" t="str">
        <x:v>Preprint</x:v>
      </x:c>
      <x:c r="H14" s="14" t="str">
        <x:v>https://arxiv.org/abs/2603.05036</x:v>
      </x:c>
      <x:c r="I14" s="14" t="str">
        <x:v>https://arxiv.org/pdf/2603.05036</x:v>
      </x:c>
      <x:c r="J14" s="14" t="str">
        <x:v>Direct arXiv PDF</x:v>
      </x:c>
      <x:c r="K14" s="14" t="str">
        <x:v>Useful for education/democratization subsection, but lower priority than empirical platform studies. New addition; no-code AI course framework.</x:v>
      </x:c>
      <x:c r="L14" s="14" t="str">
        <x:v>arXiv:2603.05036</x:v>
      </x:c>
    </x:row>
    <x:row r="15" ht="64" customHeight="1">
      <x:c r="A15" s="14" t="str">
        <x:v>N14</x:v>
      </x:c>
      <x:c r="B15" s="14" t="n">
        <x:v>2026</x:v>
      </x:c>
      <x:c r="C15" s="14" t="str">
        <x:v>Don't Vibe Code, Do Skele-Code: Interactive No-Code Notebooks for Subject Matter Experts to Build Lower-Cost Agentic Workflows</x:v>
      </x:c>
      <x:c r="D15" s="14" t="str">
        <x:v>Not captured in metadata pass</x:v>
      </x:c>
      <x:c r="E15" s="14" t="str">
        <x:v>arXiv</x:v>
      </x:c>
      <x:c r="F15" s="14" t="str">
        <x:v>No-code notebooks / agentic workflows</x:v>
      </x:c>
      <x:c r="G15" s="14" t="str">
        <x:v>Preprint</x:v>
      </x:c>
      <x:c r="H15" s="14" t="str">
        <x:v>https://arxiv.org/abs/2603.18122</x:v>
      </x:c>
      <x:c r="I15" s="14" t="str">
        <x:v>https://arxiv.org/pdf/2603.18122</x:v>
      </x:c>
      <x:c r="J15" s="14" t="str">
        <x:v>Direct arXiv PDF</x:v>
      </x:c>
      <x:c r="K15" s="14" t="str">
        <x:v>Emerging 2026 direction for domain-expert agentic workflow authoring. New addition; interactive no-code notebook approach.</x:v>
      </x:c>
      <x:c r="L15" s="14" t="str">
        <x:v>arXiv:2603.18122</x:v>
      </x:c>
    </x:row>
    <x:row r="16" ht="64" customHeight="1">
      <x:c r="A16" s="14" t="str">
        <x:v>N15</x:v>
      </x:c>
      <x:c r="B16" s="14" t="n">
        <x:v>2026</x:v>
      </x:c>
      <x:c r="C16" s="14" t="str">
        <x:v>Explaining AI Without Code: A User Study on Explainable AI</x:v>
      </x:c>
      <x:c r="D16" s="14" t="str">
        <x:v>Not captured in metadata pass</x:v>
      </x:c>
      <x:c r="E16" s="14" t="str">
        <x:v>arXiv</x:v>
      </x:c>
      <x:c r="F16" s="14" t="str">
        <x:v>No-code XAI / user study</x:v>
      </x:c>
      <x:c r="G16" s="14" t="str">
        <x:v>Preprint/user study</x:v>
      </x:c>
      <x:c r="H16" s="14" t="str">
        <x:v>https://arxiv.org/abs/2602.11159</x:v>
      </x:c>
      <x:c r="I16" s="14" t="str">
        <x:v>https://arxiv.org/pdf/2602.11159</x:v>
      </x:c>
      <x:c r="J16" s="14" t="str">
        <x:v>Direct arXiv PDF</x:v>
      </x:c>
      <x:c r="K16" s="14" t="str">
        <x:v>Good empirical perspective on AI democratization and no-code explainability. New addition; no-code explainable AI user study.</x:v>
      </x:c>
      <x:c r="L16" s="14" t="str">
        <x:v>arXiv:2602.11159</x:v>
      </x:c>
    </x:row>
    <x:row r="17" ht="64" customHeight="1">
      <x:c r="A17" s="14" t="str">
        <x:v>N16</x:v>
      </x:c>
      <x:c r="B17" s="14" t="n">
        <x:v>2026</x:v>
      </x:c>
      <x:c r="C17" s="14" t="str">
        <x:v>Vibe-driven model-based engineering</x:v>
      </x:c>
      <x:c r="D17" s="14" t="str">
        <x:v>Not captured in metadata pass</x:v>
      </x:c>
      <x:c r="E17" s="14" t="str">
        <x:v>arXiv</x:v>
      </x:c>
      <x:c r="F17" s="14" t="str">
        <x:v>Model-based engineering + generative AI</x:v>
      </x:c>
      <x:c r="G17" s="14" t="str">
        <x:v>Preprint</x:v>
      </x:c>
      <x:c r="H17" s="14" t="str">
        <x:v>https://arxiv.org/abs/2604.10645</x:v>
      </x:c>
      <x:c r="I17" s="14" t="str">
        <x:v>https://arxiv.org/pdf/2604.10645</x:v>
      </x:c>
      <x:c r="J17" s="14" t="str">
        <x:v>Direct arXiv PDF</x:v>
      </x:c>
      <x:c r="K17" s="14" t="str">
        <x:v>Useful emerging conceptual bridge between MDE and LLM-enabled LCNC. New addition; model-based engineering and generative prompting/AI.</x:v>
      </x:c>
      <x:c r="L17" s="14" t="str">
        <x:v>arXiv:2604.10645</x:v>
      </x:c>
    </x:row>
    <x:row r="18" ht="64" customHeight="1">
      <x:c r="A18" s="14" t="str">
        <x:v>N17</x:v>
      </x:c>
      <x:c r="B18" s="14" t="n">
        <x:v>2026</x:v>
      </x:c>
      <x:c r="C18" s="14" t="str">
        <x:v>A Low-Code Approach for the Automatic Personalization of Conversational Agents</x:v>
      </x:c>
      <x:c r="D18" s="14" t="str">
        <x:v>Not captured in metadata pass</x:v>
      </x:c>
      <x:c r="E18" s="14" t="str">
        <x:v>arXiv</x:v>
      </x:c>
      <x:c r="F18" s="14" t="str">
        <x:v>Low-code conversational agents</x:v>
      </x:c>
      <x:c r="G18" s="14" t="str">
        <x:v>Preprint</x:v>
      </x:c>
      <x:c r="H18" s="14" t="str">
        <x:v>https://arxiv.org/abs/2605.02384</x:v>
      </x:c>
      <x:c r="I18" s="14" t="str">
        <x:v>https://arxiv.org/pdf/2605.02384</x:v>
      </x:c>
      <x:c r="J18" s="14" t="str">
        <x:v>Direct arXiv PDF</x:v>
      </x:c>
      <x:c r="K18" s="14" t="str">
        <x:v>Current 2026 LCNC conversational-agent personalization work. New addition; low-code personalization of conversational agents.</x:v>
      </x:c>
      <x:c r="L18" s="14" t="str">
        <x:v>arXiv:2605.02384</x:v>
      </x:c>
    </x:row>
    <x:row r="19" ht="64" customHeight="1">
      <x:c r="A19" s="14" t="str">
        <x:v>N18</x:v>
      </x:c>
      <x:c r="B19" s="14" t="n">
        <x:v>2026</x:v>
      </x:c>
      <x:c r="C19" s="14" t="str">
        <x:v>Automated Root-Cause Subclassification and No-Code Fix Generation for Invalid Bug Reports</x:v>
      </x:c>
      <x:c r="D19" s="14" t="str">
        <x:v>Not captured in metadata pass</x:v>
      </x:c>
      <x:c r="E19" s="14" t="str">
        <x:v>arXiv</x:v>
      </x:c>
      <x:c r="F19" s="14" t="str">
        <x:v>No-code repair / software maintenance</x:v>
      </x:c>
      <x:c r="G19" s="14" t="str">
        <x:v>Preprint</x:v>
      </x:c>
      <x:c r="H19" s="14" t="str">
        <x:v>https://arxiv.org/abs/2605.17561</x:v>
      </x:c>
      <x:c r="I19" s="14" t="str">
        <x:v>https://arxiv.org/pdf/2605.17561</x:v>
      </x:c>
      <x:c r="J19" s="14" t="str">
        <x:v>Direct arXiv PDF</x:v>
      </x:c>
      <x:c r="K19" s="14" t="str">
        <x:v>Fits quality/maintenance strand, but more narrowly scoped than general LCNC platform papers. New addition; no-code fix generation for bug reports.</x:v>
      </x:c>
      <x:c r="L19" s="14" t="str">
        <x:v>arXiv:2605.17561</x:v>
      </x:c>
    </x:row>
    <x:row r="20" ht="64" customHeight="1">
      <x:c r="A20" s="14" t="str">
        <x:v>N19</x:v>
      </x:c>
      <x:c r="B20" s="14" t="n">
        <x:v>2025</x:v>
      </x:c>
      <x:c r="C20" s="14" t="str">
        <x:v>ORCA: A Comprehensive AI-Driven Platform for Digital Pathology Analysis and Biomarker Discovery</x:v>
      </x:c>
      <x:c r="D20" s="14" t="str">
        <x:v>Not captured in metadata pass</x:v>
      </x:c>
      <x:c r="E20" s="14" t="str">
        <x:v>arXiv</x:v>
      </x:c>
      <x:c r="F20" s="14" t="str">
        <x:v>No-code AI platform / healthcare</x:v>
      </x:c>
      <x:c r="G20" s="14" t="str">
        <x:v>Preprint/platform paper</x:v>
      </x:c>
      <x:c r="H20" s="14" t="str">
        <x:v>https://arxiv.org/abs/2509.13044</x:v>
      </x:c>
      <x:c r="I20" s="14" t="str">
        <x:v>https://arxiv.org/pdf/2509.13044</x:v>
      </x:c>
      <x:c r="J20" s="14" t="str">
        <x:v>Direct arXiv PDF</x:v>
      </x:c>
      <x:c r="K20" s="14" t="str">
        <x:v>Strong domain-specific no-code AI platform case. New addition; no-code AI platform in digital pathology.</x:v>
      </x:c>
      <x:c r="L20" s="14" t="str">
        <x:v>arXiv:2509.13044</x:v>
      </x:c>
    </x:row>
    <x:row r="21" ht="64" customHeight="1">
      <x:c r="A21" s="14" t="str">
        <x:v>N20</x:v>
      </x:c>
      <x:c r="B21" s="14" t="n">
        <x:v>2025</x:v>
      </x:c>
      <x:c r="C21" s="14" t="str">
        <x:v>MANILA: A Low-Code Application to Benchmark Machine Learning Models and Fairness-Enhancing Methods</x:v>
      </x:c>
      <x:c r="D21" s="14" t="str">
        <x:v>Giordano d’Aloisio; others</x:v>
      </x:c>
      <x:c r="E21" s="14" t="str">
        <x:v>ACM demo/preprint</x:v>
      </x:c>
      <x:c r="F21" s="14" t="str">
        <x:v>Low-code ML benchmarking/fairness</x:v>
      </x:c>
      <x:c r="G21" s="14" t="str">
        <x:v>Demo paper / direct PDF</x:v>
      </x:c>
      <x:c r="H21" s="14" t="str">
        <x:v>https://giordanodaloisio.github.io/assets/pdf/manila_demo.pdf</x:v>
      </x:c>
      <x:c r="I21" s="14" t="str">
        <x:v>https://giordanodaloisio.github.io/assets/pdf/manila_demo.pdf</x:v>
      </x:c>
      <x:c r="J21" s="14" t="str">
        <x:v>Direct PDF</x:v>
      </x:c>
      <x:c r="K21" s="14" t="str">
        <x:v>Useful for low-code ML governance/fairness tooling. New addition; low-code benchmarking of ML and fairness methods.</x:v>
      </x:c>
      <x:c r="L21" s="14" t="str">
        <x:v>Author PDF</x:v>
      </x:c>
    </x:row>
    <x:row r="22" ht="64" customHeight="1">
      <x:c r="A22" s="14" t="str">
        <x:v>N21</x:v>
      </x:c>
      <x:c r="B22" s="14" t="n">
        <x:v>2024</x:v>
      </x:c>
      <x:c r="C22" s="14" t="str">
        <x:v>AI for Low-Code for AI</x:v>
      </x:c>
      <x:c r="D22" s="14" t="str">
        <x:v>Nikhila Rao; Dan Grossman; Katharina Reinecke</x:v>
      </x:c>
      <x:c r="E22" s="14" t="str">
        <x:v>ACM IUI 2024</x:v>
      </x:c>
      <x:c r="F22" s="14" t="str">
        <x:v>AI support for low-code AI development</x:v>
      </x:c>
      <x:c r="G22" s="14" t="str">
        <x:v>Peer-reviewed ACM IUI</x:v>
      </x:c>
      <x:c r="H22" s="14" t="str">
        <x:v>https://dl.acm.org/doi/10.1145/3640543.3645203</x:v>
      </x:c>
      <x:c r="I22" s="14" t="str">
        <x:v>https://www.jsntsay.com/publications/rao-iui24.pdf</x:v>
      </x:c>
      <x:c r="J22" s="14" t="str">
        <x:v>Direct author PDF</x:v>
      </x:c>
      <x:c r="K22" s="14" t="str">
        <x:v>High-quality HCI angle on AI support for low-code AI creation. New addition; examines AI assistance in low-code AI tools.</x:v>
      </x:c>
      <x:c r="L22" s="14" t="str">
        <x:v>ACM IUI 2024</x:v>
      </x:c>
    </x:row>
    <x:row r="23" ht="64" customHeight="1">
      <x:c r="A23" s="14" t="str">
        <x:v>N22</x:v>
      </x:c>
      <x:c r="B23" s="14" t="n">
        <x:v>2024</x:v>
      </x:c>
      <x:c r="C23" s="14" t="str">
        <x:v>Requirements Engineering for No-Code Development (RE4NCD): A Case Study of Smart Contract Development</x:v>
      </x:c>
      <x:c r="D23" s="14" t="str">
        <x:v>Not captured in metadata pass</x:v>
      </x:c>
      <x:c r="E23" s="14" t="str">
        <x:v>Springer / REFSQ 2024</x:v>
      </x:c>
      <x:c r="F23" s="14" t="str">
        <x:v>Requirements engineering for no-code</x:v>
      </x:c>
      <x:c r="G23" s="14" t="str">
        <x:v>Peer-reviewed Springer chapter</x:v>
      </x:c>
      <x:c r="H23" s="14" t="str">
        <x:v>https://link.springer.com/chapter/10.1007/978-3-031-57327-9_20</x:v>
      </x:c>
      <x:c r="I23" s="14" t="str"/>
      <x:c r="J23" s="14" t="str">
        <x:v>Article page only</x:v>
      </x:c>
      <x:c r="K23" s="14" t="str">
        <x:v>Important requirements-engineering angle for no-code development. New addition; no direct open PDF found in this pass.</x:v>
      </x:c>
      <x:c r="L23" s="14" t="str">
        <x:v>Springer chapter DOI 10.1007/978-3-031-57327-9_20</x:v>
      </x:c>
    </x:row>
    <x:row r="24" ht="64" customHeight="1">
      <x:c r="A24" s="14" t="str">
        <x:v>N23</x:v>
      </x:c>
      <x:c r="B24" s="14" t="n">
        <x:v>2024</x:v>
      </x:c>
      <x:c r="C24" s="14" t="str">
        <x:v>Emerging New Roles for Low-Code Software Development</x:v>
      </x:c>
      <x:c r="D24" s="14" t="str">
        <x:v>Not captured in metadata pass</x:v>
      </x:c>
      <x:c r="E24" s="14" t="str">
        <x:v>ACM MODELS 2024</x:v>
      </x:c>
      <x:c r="F24" s="14" t="str">
        <x:v>Low-code roles / citizen development</x:v>
      </x:c>
      <x:c r="G24" s="14" t="str">
        <x:v>Peer-reviewed ACM MODELS workshop/conference paper</x:v>
      </x:c>
      <x:c r="H24" s="14" t="str">
        <x:v>https://dl.acm.org/doi/10.1145/3652620.3688337</x:v>
      </x:c>
      <x:c r="I24" s="14" t="str">
        <x:v>https://hal.science/hal-04742482v1/file/Lowcode_Models2024-MOTTU.pdf</x:v>
      </x:c>
      <x:c r="J24" s="14" t="str">
        <x:v>Direct HAL PDF</x:v>
      </x:c>
      <x:c r="K24" s="14" t="str">
        <x:v>Good socio-technical/citizen-development paper for review background. New addition; role changes created by low-code development.</x:v>
      </x:c>
      <x:c r="L24" s="14" t="str">
        <x:v>ACM MODELS 2024 / HAL</x:v>
      </x:c>
    </x:row>
    <x:row r="25" ht="64" customHeight="1">
      <x:c r="A25" s="14" t="str">
        <x:v>N24</x:v>
      </x:c>
      <x:c r="B25" s="14" t="n">
        <x:v>2024</x:v>
      </x:c>
      <x:c r="C25" s="14" t="str">
        <x:v>White-box LLM-supported Low-code Engineering: A Vision and First Insights</x:v>
      </x:c>
      <x:c r="D25" s="14" t="str">
        <x:v>Not captured in metadata pass</x:v>
      </x:c>
      <x:c r="E25" s="14" t="str">
        <x:v>ACM MODELS 2024</x:v>
      </x:c>
      <x:c r="F25" s="14" t="str">
        <x:v>LLM-supported low-code engineering</x:v>
      </x:c>
      <x:c r="G25" s="14" t="str">
        <x:v>Peer-reviewed ACM MODELS paper</x:v>
      </x:c>
      <x:c r="H25" s="14" t="str">
        <x:v>https://dl.acm.org/doi/10.1145/3652620.3687803</x:v>
      </x:c>
      <x:c r="I25" s="14" t="str">
        <x:v>https://dl.acm.org/doi/pdf/10.1145/3652620.3687803</x:v>
      </x:c>
      <x:c r="J25" s="14" t="str">
        <x:v>Direct ACM PDF link</x:v>
      </x:c>
      <x:c r="K25" s="14" t="str">
        <x:v>Strong current bridge between LLMs, MDE and low-code engineering. New addition; vision/insights on transparent LLM support for low-code engineering.</x:v>
      </x:c>
      <x:c r="L25" s="14" t="str">
        <x:v>ACM MODELS 2024</x:v>
      </x:c>
    </x:row>
    <x:row r="26" ht="64" customHeight="1">
      <x:c r="A26" s="14" t="str">
        <x:v>N25</x:v>
      </x:c>
      <x:c r="B26" s="14" t="n">
        <x:v>2024</x:v>
      </x:c>
      <x:c r="C26" s="14" t="str">
        <x:v>ChatIoT: Zero-code Generation of Trigger-action Based IoT Programs</x:v>
      </x:c>
      <x:c r="D26" s="14" t="str">
        <x:v>Not captured in metadata pass</x:v>
      </x:c>
      <x:c r="E26" s="14" t="str">
        <x:v>ACM IMWUT 2024</x:v>
      </x:c>
      <x:c r="F26" s="14" t="str">
        <x:v>Zero-code IoT / trigger-action programming</x:v>
      </x:c>
      <x:c r="G26" s="14" t="str">
        <x:v>Peer-reviewed ACM IMWUT</x:v>
      </x:c>
      <x:c r="H26" s="14" t="str">
        <x:v>https://dl.acm.org/doi/10.1145/3678585</x:v>
      </x:c>
      <x:c r="I26" s="14" t="str">
        <x:v>https://www.emnets.cn/zh/publication/ubicomp-24-chatiot/chatiot.pdf</x:v>
      </x:c>
      <x:c r="J26" s="14" t="str">
        <x:v>Direct author/institution PDF</x:v>
      </x:c>
      <x:c r="K26" s="14" t="str">
        <x:v>Strong peer-reviewed zero-code paper with practical IoT focus. New addition; high relevance to zero-code IoT programs.</x:v>
      </x:c>
      <x:c r="L26" s="14" t="str">
        <x:v>ACM IMWUT 2024</x:v>
      </x:c>
    </x:row>
    <x:row r="27" ht="64" customHeight="1">
      <x:c r="A27" s="14" t="str">
        <x:v>N26</x:v>
      </x:c>
      <x:c r="B27" s="14" t="n">
        <x:v>2025</x:v>
      </x:c>
      <x:c r="C27" s="14" t="str">
        <x:v>End-User Customization of Trigger-Action Rules Through Fine-Tuned LLMs</x:v>
      </x:c>
      <x:c r="D27" s="14" t="str">
        <x:v>Not captured in metadata pass</x:v>
      </x:c>
      <x:c r="E27" s="14" t="str">
        <x:v>Springer IS-EUD 2025</x:v>
      </x:c>
      <x:c r="F27" s="14" t="str">
        <x:v>End-user development / trigger-action rules</x:v>
      </x:c>
      <x:c r="G27" s="14" t="str">
        <x:v>Peer-reviewed Springer chapter</x:v>
      </x:c>
      <x:c r="H27" s="14" t="str">
        <x:v>https://link.springer.com/chapter/10.1007/978-3-031-95452-8_2</x:v>
      </x:c>
      <x:c r="I27" s="14" t="str">
        <x:v>https://link.springer.com/content/pdf/10.1007/978-3-031-95452-8.pdf</x:v>
      </x:c>
      <x:c r="J27" s="14" t="str">
        <x:v>Book PDF link</x:v>
      </x:c>
      <x:c r="K27" s="14" t="str">
        <x:v>Good EUD/LLM customization paper adjacent to no-code rule authoring. New addition; full book PDF link includes chapter.</x:v>
      </x:c>
      <x:c r="L27" s="14" t="str">
        <x:v>Springer IS-EUD 2025</x:v>
      </x:c>
    </x:row>
    <x:row r="28" ht="64" customHeight="1">
      <x:c r="A28" s="14" t="str">
        <x:v>N27</x:v>
      </x:c>
      <x:c r="B28" s="14" t="n">
        <x:v>2025</x:v>
      </x:c>
      <x:c r="C28" s="14" t="str">
        <x:v>IoT Rule Generation With Cross-View Contrastive Learning and Perplexity-Based Ranking</x:v>
      </x:c>
      <x:c r="D28" s="14" t="str">
        <x:v>Not captured in metadata pass</x:v>
      </x:c>
      <x:c r="E28" s="14" t="str">
        <x:v>IEEE Internet of Things Journal</x:v>
      </x:c>
      <x:c r="F28" s="14" t="str">
        <x:v>IoT rule generation / end-user programming</x:v>
      </x:c>
      <x:c r="G28" s="14" t="str">
        <x:v>Peer-reviewed IEEE journal</x:v>
      </x:c>
      <x:c r="H28" s="14" t="str">
        <x:v>https://doi.org/10.1109/JIOT.2025.3579920</x:v>
      </x:c>
      <x:c r="I28" s="14" t="str">
        <x:v>https://www.researchgate.net/publication/392747675_IoT_Rule_Generation_with_Cross-View_Contrastive_Learning_and_Perplexity-Based_Ranking</x:v>
      </x:c>
      <x:c r="J28" s="14" t="str">
        <x:v>Article DOI + ResearchGate full-text page</x:v>
      </x:c>
      <x:c r="K28" s="14" t="str">
        <x:v>Good adjacent EUD/IoT automation method if paper needs broader no-code rule generation coverage. New addition; not strictly LCNC but relevant to zero-code/end-user IoT automation.</x:v>
      </x:c>
      <x:c r="L28" s="14" t="str">
        <x:v>IEEE IoT Journal 2025</x:v>
      </x:c>
    </x:row>
    <x:row r="29" ht="64" customHeight="1">
      <x:c r="A29" s="14" t="str">
        <x:v>N28</x:v>
      </x:c>
      <x:c r="B29" s="14" t="n">
        <x:v>2025</x:v>
      </x:c>
      <x:c r="C29" s="14" t="str">
        <x:v>A Tool for Safe and Accurate IoT Automation Rule Generation Using Large Language Models</x:v>
      </x:c>
      <x:c r="D29" s="14" t="str">
        <x:v>Not captured in metadata pass</x:v>
      </x:c>
      <x:c r="E29" s="14" t="str">
        <x:v>IEEE Security and Privacy Workshops 2025</x:v>
      </x:c>
      <x:c r="F29" s="14" t="str">
        <x:v>Safe IoT automation / LLM rule generation</x:v>
      </x:c>
      <x:c r="G29" s="14" t="str">
        <x:v>Peer-reviewed IEEE workshop</x:v>
      </x:c>
      <x:c r="H29" s="14" t="str">
        <x:v>https://www.computer.org/csdl/proceedings-article/spw/2025/664300a191/27k6ozdSSe4</x:v>
      </x:c>
      <x:c r="I29" s="14" t="str"/>
      <x:c r="J29" s="14" t="str">
        <x:v>Article page only</x:v>
      </x:c>
      <x:c r="K29" s="14" t="str">
        <x:v>Relevant for safety/governance in zero-code IoT automation. New addition; safety/accuracy of LLM-generated IoT automation rules.</x:v>
      </x:c>
      <x:c r="L29" s="14" t="str">
        <x:v>IEEE SPW 2025</x:v>
      </x:c>
    </x:row>
    <x:row r="30" ht="64" customHeight="1">
      <x:c r="A30" s="14" t="str">
        <x:v>N29</x:v>
      </x:c>
      <x:c r="B30" s="14" t="n">
        <x:v>2025</x:v>
      </x:c>
      <x:c r="C30" s="14" t="str">
        <x:v>Feasibility of AI-Assisted Programming for End-User Development</x:v>
      </x:c>
      <x:c r="D30" s="14" t="str">
        <x:v>Not captured in metadata pass</x:v>
      </x:c>
      <x:c r="E30" s="14" t="str">
        <x:v>arXiv</x:v>
      </x:c>
      <x:c r="F30" s="14" t="str">
        <x:v>End-user development / AI-assisted programming</x:v>
      </x:c>
      <x:c r="G30" s="14" t="str">
        <x:v>Preprint</x:v>
      </x:c>
      <x:c r="H30" s="14" t="str">
        <x:v>https://arxiv.org/abs/2512.05666</x:v>
      </x:c>
      <x:c r="I30" s="14" t="str">
        <x:v>https://arxiv.org/pdf/2512.05666</x:v>
      </x:c>
      <x:c r="J30" s="14" t="str">
        <x:v>Direct arXiv PDF</x:v>
      </x:c>
      <x:c r="K30" s="14" t="str">
        <x:v>Useful for discussing whether AI-assisted programming functions as an LCNC/no-code alternative. New addition; relevant to EUD and AI-assisted coding/no-code boundary.</x:v>
      </x:c>
      <x:c r="L30" s="14" t="str">
        <x:v>arXiv:2512.05666</x:v>
      </x:c>
    </x:row>
    <x:row r="31" ht="64" customHeight="1">
      <x:c r="A31" s="14" t="str">
        <x:v>N30</x:v>
      </x:c>
      <x:c r="B31" s="14" t="n">
        <x:v>2024</x:v>
      </x:c>
      <x:c r="C31" s="14" t="str">
        <x:v>Feasibility of Low-Code Development Platforms in Precision Agriculture: Opportunities, Challenges, and Future Directions</x:v>
      </x:c>
      <x:c r="D31" s="14" t="str">
        <x:v>MDPI metadata not fully captured in this pass</x:v>
      </x:c>
      <x:c r="E31" s="14" t="str">
        <x:v>Land (MDPI)</x:v>
      </x:c>
      <x:c r="F31" s="14" t="str">
        <x:v>Low-code domain application / precision agriculture</x:v>
      </x:c>
      <x:c r="G31" s="14" t="str">
        <x:v>Peer-reviewed journal article</x:v>
      </x:c>
      <x:c r="H31" s="14" t="str">
        <x:v>https://www.mdpi.com/2073-445X/13/11/1758</x:v>
      </x:c>
      <x:c r="I31" s="14" t="str">
        <x:v>https://www.mdpi.com/2073-445X/13/11/1758/pdf</x:v>
      </x:c>
      <x:c r="J31" s="14" t="str">
        <x:v>Direct MDPI PDF</x:v>
      </x:c>
      <x:c r="K31" s="14" t="str">
        <x:v>Useful sector-specific LCNC feasibility paper with direct open access. New addition; domain review/application in precision agriculture.</x:v>
      </x:c>
      <x:c r="L31" s="14" t="str">
        <x:v>MDPI Land 2024</x:v>
      </x:c>
    </x:row>
    <x:row r="32" ht="64" customHeight="1">
      <x:c r="A32" s="14" t="str">
        <x:v>N31</x:v>
      </x:c>
      <x:c r="B32" s="14" t="n">
        <x:v>2025</x:v>
      </x:c>
      <x:c r="C32" s="14" t="str">
        <x:v>A No-Code Educational Platform for Introducing Internet of Things and Embedded Systems</x:v>
      </x:c>
      <x:c r="D32" s="14" t="str">
        <x:v>MDPI metadata not fully captured in this pass</x:v>
      </x:c>
      <x:c r="E32" s="14" t="str">
        <x:v>IoT (MDPI)</x:v>
      </x:c>
      <x:c r="F32" s="14" t="str">
        <x:v>No-code education / IoT</x:v>
      </x:c>
      <x:c r="G32" s="14" t="str">
        <x:v>Peer-reviewed journal article</x:v>
      </x:c>
      <x:c r="H32" s="14" t="str">
        <x:v>https://www.mdpi.com/2624-831X/6/3/42</x:v>
      </x:c>
      <x:c r="I32" s="14" t="str">
        <x:v>https://www.mdpi.com/2624-831X/6/3/42/pdf</x:v>
      </x:c>
      <x:c r="J32" s="14" t="str">
        <x:v>Direct MDPI PDF</x:v>
      </x:c>
      <x:c r="K32" s="14" t="str">
        <x:v>Useful education/domain-specific platform example. New addition; educational no-code IoT/embedded systems platform.</x:v>
      </x:c>
      <x:c r="L32" s="14" t="str">
        <x:v>MDPI IoT 2025</x:v>
      </x:c>
    </x:row>
    <x:row r="33" ht="64" customHeight="1">
      <x:c r="A33" s="14" t="str">
        <x:v>N32</x:v>
      </x:c>
      <x:c r="B33" s="14" t="n">
        <x:v>2024</x:v>
      </x:c>
      <x:c r="C33" s="14" t="str">
        <x:v>Cinco de Bio: A Low-Code Platform for Domain-Specific Workflows for Biomedical Imaging Research</x:v>
      </x:c>
      <x:c r="D33" s="14" t="str">
        <x:v>Colm Brandon; Steve Boßelmann; Amandeep Singh; Stephen Ryan; Alexander Schieweck; Eanna Fennell; Bernhard Steffen; Tiziana Margaria</x:v>
      </x:c>
      <x:c r="E33" s="14" t="str">
        <x:v>BioMedInformatics (MDPI)</x:v>
      </x:c>
      <x:c r="F33" s="14" t="str">
        <x:v>Low-code biomedical workflows</x:v>
      </x:c>
      <x:c r="G33" s="14" t="str">
        <x:v>Peer-reviewed journal article</x:v>
      </x:c>
      <x:c r="H33" s="14" t="str">
        <x:v>https://www.mdpi.com/2673-7426/4/3/102</x:v>
      </x:c>
      <x:c r="I33" s="14" t="str">
        <x:v>https://www.mdpi.com/2673-7426/4/3/102/pdf</x:v>
      </x:c>
      <x:c r="J33" s="14" t="str">
        <x:v>Direct MDPI PDF</x:v>
      </x:c>
      <x:c r="K33" s="14" t="str">
        <x:v>Strong domain-specific platform paper and good example for MDE/DSL themes. New addition; domain-specific low-code biomedical workflow platform.</x:v>
      </x:c>
      <x:c r="L33" s="14" t="str">
        <x:v>MDPI BioMedInformatics 2024</x:v>
      </x:c>
    </x:row>
    <x:row r="34" ht="64" customHeight="1">
      <x:c r="A34" s="14" t="str">
        <x:v>N33</x:v>
      </x:c>
      <x:c r="B34" s="14" t="n">
        <x:v>2024</x:v>
      </x:c>
      <x:c r="C34" s="14" t="str">
        <x:v>Transforming Business with Low-Code and No-Code</x:v>
      </x:c>
      <x:c r="D34" s="14" t="str">
        <x:v>Nicholas Berente; Dirk Hovorka; Eva Ruhe; others</x:v>
      </x:c>
      <x:c r="E34" s="14" t="str">
        <x:v>MIS Quarterly Executive</x:v>
      </x:c>
      <x:c r="F34" s="14" t="str">
        <x:v>Business transformation / editorial framing</x:v>
      </x:c>
      <x:c r="G34" s="14" t="str">
        <x:v>Peer-reviewed outlet editorial</x:v>
      </x:c>
      <x:c r="H34" s="14" t="str">
        <x:v>https://aisel.aisnet.org/misqe/vol23/iss4/6/</x:v>
      </x:c>
      <x:c r="I34" s="14" t="str">
        <x:v>https://aisel.aisnet.org/cgi/viewcontent.cgi?article=1597&amp;context=misqe</x:v>
      </x:c>
      <x:c r="J34" s="14" t="str">
        <x:v>Direct AIS eLibrary PDF</x:v>
      </x:c>
      <x:c r="K34" s="14" t="str">
        <x:v>Useful high-level framing for business value and transformation narratives. New addition; special issue editorial/background source.</x:v>
      </x:c>
      <x:c r="L34" s="14" t="str">
        <x:v>MISQE 2024</x:v>
      </x:c>
    </x:row>
    <x:row r="35" ht="64" customHeight="1">
      <x:c r="A35" s="14" t="str">
        <x:v>N34</x:v>
      </x:c>
      <x:c r="B35" s="14" t="n">
        <x:v>2023</x:v>
      </x:c>
      <x:c r="C35" s="14" t="str">
        <x:v>Democratizing artificial intelligence: How no-code AI can leverage machine learning operations</x:v>
      </x:c>
      <x:c r="D35" s="14" t="str">
        <x:v>Not captured in metadata pass</x:v>
      </x:c>
      <x:c r="E35" s="14" t="str">
        <x:v>Business Horizons</x:v>
      </x:c>
      <x:c r="F35" s="14" t="str">
        <x:v>No-code AI / MLOps</x:v>
      </x:c>
      <x:c r="G35" s="14" t="str">
        <x:v>Peer-reviewed journal article</x:v>
      </x:c>
      <x:c r="H35" s="14" t="str">
        <x:v>https://doi.org/10.1016/j.bushor.2023.04.003</x:v>
      </x:c>
      <x:c r="I35" s="14" t="str"/>
      <x:c r="J35" s="14" t="str">
        <x:v>Article DOI only</x:v>
      </x:c>
      <x:c r="K35" s="14" t="str">
        <x:v>Useful conceptual/business source connecting no-code AI and operationalization. New addition; no-code AI and MLOps conceptual/practitioner paper.</x:v>
      </x:c>
      <x:c r="L35" s="14" t="str">
        <x:v>Business Horizons 2023</x:v>
      </x:c>
    </x:row>
    <x:row r="36" ht="64" customHeight="1">
      <x:c r="A36" s="14" t="str">
        <x:v>N35</x:v>
      </x:c>
      <x:c r="B36" s="14" t="n">
        <x:v>2026</x:v>
      </x:c>
      <x:c r="C36" s="14" t="str">
        <x:v>Low-Code and No-Code Tools: A Valuable Aid or a Potential Threat to Professional Developers?</x:v>
      </x:c>
      <x:c r="D36" s="14" t="str">
        <x:v>Not captured in metadata pass</x:v>
      </x:c>
      <x:c r="E36" s="14" t="str">
        <x:v>Software: Practice and Experience (Wiley)</x:v>
      </x:c>
      <x:c r="F36" s="14" t="str">
        <x:v>Professional developers / systematic mapping</x:v>
      </x:c>
      <x:c r="G36" s="14" t="str">
        <x:v>Peer-reviewed journal article</x:v>
      </x:c>
      <x:c r="H36" s="14" t="str">
        <x:v>https://onlinelibrary.wiley.com/doi/full/10.1002/spe.70067</x:v>
      </x:c>
      <x:c r="I36" s="14" t="str"/>
      <x:c r="J36" s="14" t="str">
        <x:v>Open article page</x:v>
      </x:c>
      <x:c r="K36" s="14" t="str">
        <x:v>Excellent for literature-review framing and professional-developer impact. New addition; systematic mapping study from 2026.</x:v>
      </x:c>
      <x:c r="L36" s="14" t="str">
        <x:v>Wiley Software: Practice and Experience 2026</x:v>
      </x:c>
    </x:row>
    <x:row r="37" ht="64" customHeight="1">
      <x:c r="A37" s="14" t="str">
        <x:v>N36</x:v>
      </x:c>
      <x:c r="B37" s="14" t="n">
        <x:v>2026</x:v>
      </x:c>
      <x:c r="C37" s="14" t="str">
        <x:v>Understanding the Effects of GenAI as No-Code Alternative for Introductory Programming</x:v>
      </x:c>
      <x:c r="D37" s="14" t="str">
        <x:v>Not captured in metadata pass</x:v>
      </x:c>
      <x:c r="E37" s="14" t="str">
        <x:v>AAAI 2026</x:v>
      </x:c>
      <x:c r="F37" s="14" t="str">
        <x:v>GenAI as no-code alternative / education</x:v>
      </x:c>
      <x:c r="G37" s="14" t="str">
        <x:v>Peer-reviewed AAAI</x:v>
      </x:c>
      <x:c r="H37" s="14" t="str">
        <x:v>https://ojs.aaai.org/index.php/AAAI/article/view/41516</x:v>
      </x:c>
      <x:c r="I37" s="14" t="str">
        <x:v>https://ojs.aaai.org/index.php/AAAI/article/view/41516/45477</x:v>
      </x:c>
      <x:c r="J37" s="14" t="str">
        <x:v>Direct AAAI PDF</x:v>
      </x:c>
      <x:c r="K37" s="14" t="str">
        <x:v>Useful for emerging GenAI/no-code boundary, but domain is intro programming. New addition; GenAI as no-code alternative in programming education.</x:v>
      </x:c>
      <x:c r="L37" s="14" t="str">
        <x:v>AAAI 2026</x:v>
      </x:c>
    </x:row>
    <x:row r="38" ht="64" customHeight="1">
      <x:c r="A38" s="14" t="str">
        <x:v>N37</x:v>
      </x:c>
      <x:c r="B38" s="14" t="n">
        <x:v>2025</x:v>
      </x:c>
      <x:c r="C38" s="14" t="str">
        <x:v>Bridging the Gap: Low-Code Platforms and the Future of ERP Customization</x:v>
      </x:c>
      <x:c r="D38" s="14" t="str">
        <x:v>Not captured in metadata pass</x:v>
      </x:c>
      <x:c r="E38" s="14" t="str">
        <x:v>AMCIS 2025</x:v>
      </x:c>
      <x:c r="F38" s="14" t="str">
        <x:v>ERP customization / enterprise low-code</x:v>
      </x:c>
      <x:c r="G38" s="14" t="str">
        <x:v>Conference paper/direct PDF</x:v>
      </x:c>
      <x:c r="H38" s="14" t="str">
        <x:v>https://lswi.de/assets/downloads/publikationen/109/Abendroth_Bender_2025_Bridging_the_Gap_Low-Code_Platforms_and_the_Future_of_ERP.pdf</x:v>
      </x:c>
      <x:c r="I38" s="14" t="str">
        <x:v>https://lswi.de/assets/downloads/publikationen/109/Abendroth_Bender_2025_Bridging_the_Gap_Low-Code_Platforms_and_the_Future_of_ERP.pdf</x:v>
      </x:c>
      <x:c r="J38" s="14" t="str">
        <x:v>Direct PDF</x:v>
      </x:c>
      <x:c r="K38" s="14" t="str">
        <x:v>Useful enterprise application context. New addition; enterprise ERP low-code customization.</x:v>
      </x:c>
      <x:c r="L38" s="14" t="str">
        <x:v>AMCIS 2025 author/institution PDF</x:v>
      </x:c>
    </x:row>
    <x:row r="39" ht="64" customHeight="1">
      <x:c r="A39" s="14" t="str">
        <x:v>N38</x:v>
      </x:c>
      <x:c r="B39" s="14" t="n">
        <x:v>2025</x:v>
      </x:c>
      <x:c r="C39" s="14" t="str">
        <x:v>Low-Code/No-Code Platforms: From Concept to Creation</x:v>
      </x:c>
      <x:c r="D39" s="14" t="str">
        <x:v>Not captured in metadata pass</x:v>
      </x:c>
      <x:c r="E39" s="14" t="str">
        <x:v>IJERT</x:v>
      </x:c>
      <x:c r="F39" s="14" t="str">
        <x:v>LCNC overview</x:v>
      </x:c>
      <x:c r="G39" s="14" t="str">
        <x:v>Lower-priority journal/conference article</x:v>
      </x:c>
      <x:c r="H39" s="14" t="str">
        <x:v>https://www.ijert.org/low-code-no-code-platforms-from-concept-to-creation</x:v>
      </x:c>
      <x:c r="I39" s="14" t="str"/>
      <x:c r="J39" s="14" t="str">
        <x:v>Article page</x:v>
      </x:c>
      <x:c r="K39" s="14" t="str">
        <x:v>Supplementary only; lower priority than SLR/systematic studies. New addition; overview-style, use cautiously.</x:v>
      </x:c>
      <x:c r="L39" s="14" t="str">
        <x:v>IJERT 2025</x:v>
      </x:c>
    </x:row>
    <x:row r="40" ht="64" customHeight="1">
      <x:c r="A40" s="14" t="str">
        <x:v>N39</x:v>
      </x:c>
      <x:c r="B40" s="14" t="n">
        <x:v>2025</x:v>
      </x:c>
      <x:c r="C40" s="14" t="str">
        <x:v>No-Code and Low-Code Approach: AI Data-Driven Python Based Web Development Course</x:v>
      </x:c>
      <x:c r="D40" s="14" t="str">
        <x:v>Not captured in metadata pass</x:v>
      </x:c>
      <x:c r="E40" s="14" t="str">
        <x:v>IJIEEB / MECS Press</x:v>
      </x:c>
      <x:c r="F40" s="14" t="str">
        <x:v>Education / web development course</x:v>
      </x:c>
      <x:c r="G40" s="14" t="str">
        <x:v>Peer-reviewed journal article; lower priority for final top 50</x:v>
      </x:c>
      <x:c r="H40" s="14" t="str">
        <x:v>https://www.mecs-press.org/ijieeb/ijieeb-v17-n1/v17n1-4.html</x:v>
      </x:c>
      <x:c r="I40" s="14" t="str"/>
      <x:c r="J40" s="14" t="str">
        <x:v>Article page</x:v>
      </x:c>
      <x:c r="K40" s="14" t="str">
        <x:v>Supplementary education source if review includes teaching LCNC. New addition; course/education application.</x:v>
      </x:c>
      <x:c r="L40" s="14" t="str">
        <x:v>IJIEEB 2025</x:v>
      </x:c>
    </x:row>
    <x:row r="41" ht="64" customHeight="1">
      <x:c r="A41" s="14" t="str">
        <x:v>N40</x:v>
      </x:c>
      <x:c r="B41" s="14" t="n">
        <x:v>2026</x:v>
      </x:c>
      <x:c r="C41" s="14" t="str">
        <x:v>Model-Driven Development and Low-Code Platforms in Federated Healthcare Environments</x:v>
      </x:c>
      <x:c r="D41" s="14" t="str">
        <x:v>Not captured in metadata pass</x:v>
      </x:c>
      <x:c r="E41" s="14" t="str">
        <x:v>Springer</x:v>
      </x:c>
      <x:c r="F41" s="14" t="str">
        <x:v>Healthcare / federated low-code</x:v>
      </x:c>
      <x:c r="G41" s="14" t="str">
        <x:v>Springer chapter</x:v>
      </x:c>
      <x:c r="H41" s="14" t="str">
        <x:v>https://link.springer.com/chapter/10.1007/978-3-032-16837-5_15</x:v>
      </x:c>
      <x:c r="I41" s="14" t="str"/>
      <x:c r="J41" s="14" t="str">
        <x:v>Article page only</x:v>
      </x:c>
      <x:c r="K41" s="14" t="str">
        <x:v>Useful health-sector model-driven low-code case, but article access may be limited. New addition; no direct open PDF found in this pass.</x:v>
      </x:c>
      <x:c r="L41" s="14" t="str">
        <x:v>Springer 2026</x:v>
      </x:c>
    </x:row>
    <x:row r="42" ht="64" customHeight="1">
      <x:c r="A42" s="14" t="str">
        <x:v>N41</x:v>
      </x:c>
      <x:c r="B42" s="14" t="n">
        <x:v>2024</x:v>
      </x:c>
      <x:c r="C42" s="14" t="str">
        <x:v>Low-Code / No-Code CI/CD Automation</x:v>
      </x:c>
      <x:c r="D42" s="14" t="str">
        <x:v>K. Muppaneni</x:v>
      </x:c>
      <x:c r="E42" s="14" t="str">
        <x:v>IJETCSIT</x:v>
      </x:c>
      <x:c r="F42" s="14" t="str">
        <x:v>DevOps / CI/CD automation</x:v>
      </x:c>
      <x:c r="G42" s="14" t="str">
        <x:v>Lower-priority journal article</x:v>
      </x:c>
      <x:c r="H42" s="14" t="str">
        <x:v>https://www.ijetcsit.org/index.php/ijetcsit/article/view/667</x:v>
      </x:c>
      <x:c r="I42" s="14" t="str"/>
      <x:c r="J42" s="14" t="str">
        <x:v>Article page</x:v>
      </x:c>
      <x:c r="K42" s="14" t="str">
        <x:v>Supplementary source for DevOps automation thread. New addition; lower-priority venue, use cautiously.</x:v>
      </x:c>
      <x:c r="L42" s="14" t="str">
        <x:v>IJETCSIT 2024</x:v>
      </x:c>
    </x:row>
    <x:row r="43" ht="64" customHeight="1">
      <x:c r="A43" s="14" t="str">
        <x:v>N42</x:v>
      </x:c>
      <x:c r="B43" s="14" t="n">
        <x:v>2025</x:v>
      </x:c>
      <x:c r="C43" s="14" t="str">
        <x:v>Evaluation and Design of Low Code/No Code App Development Platforms to be Used by Medical Professionals</x:v>
      </x:c>
      <x:c r="D43" s="14" t="str">
        <x:v>Godwin Ukeje</x:v>
      </x:c>
      <x:c r="E43" s="14" t="str">
        <x:v>ResearchGate / thesis-style work</x:v>
      </x:c>
      <x:c r="F43" s="14" t="str">
        <x:v>Healthcare / platform evaluation</x:v>
      </x:c>
      <x:c r="G43" s="14" t="str">
        <x:v>Thesis/preprint; verify before citing</x:v>
      </x:c>
      <x:c r="H43" s="14" t="str">
        <x:v>https://www.researchgate.net/publication/389555592_Evaluation_and_Design_of_Low_CodeNo_Code_App_Development_Platforms_to_be_Used_by_Medical_Professionals</x:v>
      </x:c>
      <x:c r="I43" s="14" t="str"/>
      <x:c r="J43" s="14" t="str">
        <x:v>ResearchGate full-text page</x:v>
      </x:c>
      <x:c r="K43" s="14" t="str">
        <x:v>Potential background for healthcare LCNC if peer-reviewed sources insufficient. New addition; likely thesis/preprint, not preferred for final top 50.</x:v>
      </x:c>
      <x:c r="L43" s="14" t="str">
        <x:v>ResearchGate 2025</x:v>
      </x:c>
    </x:row>
    <x:row r="44" ht="64" customHeight="1">
      <x:c r="A44" s="14" t="str">
        <x:v>N43</x:v>
      </x:c>
      <x:c r="B44" s="14" t="n">
        <x:v>2025</x:v>
      </x:c>
      <x:c r="C44" s="14" t="str">
        <x:v>Pursuing Value Creation through Low-Code AI</x:v>
      </x:c>
      <x:c r="D44" s="14" t="str">
        <x:v>Maria Kandaurova</x:v>
      </x:c>
      <x:c r="E44" s="14" t="str">
        <x:v>Chalmers University master's thesis</x:v>
      </x:c>
      <x:c r="F44" s="14" t="str">
        <x:v>Low-code AI / value creation</x:v>
      </x:c>
      <x:c r="G44" s="14" t="str">
        <x:v>Thesis</x:v>
      </x:c>
      <x:c r="H44" s="14" t="str">
        <x:v>https://research.chalmers.se/publication/545423</x:v>
      </x:c>
      <x:c r="I44" s="14" t="str">
        <x:v>https://research.chalmers.se/publication/545423/file/545423_Fulltext.pdf</x:v>
      </x:c>
      <x:c r="J44" s="14" t="str">
        <x:v>Direct institutional PDF</x:v>
      </x:c>
      <x:c r="K44" s="14" t="str">
        <x:v>Background source on low-code AI value creation; not a top-50 priority. New addition; thesis, not core paper but useful background.</x:v>
      </x:c>
      <x:c r="L44" s="14" t="str">
        <x:v>Chalmers 2025</x:v>
      </x:c>
    </x:row>
    <x:row r="45" ht="64" customHeight="1">
      <x:c r="A45" s="14" t="str">
        <x:v>N44</x:v>
      </x:c>
      <x:c r="B45" s="14" t="n">
        <x:v>2024</x:v>
      </x:c>
      <x:c r="C45" s="14" t="str">
        <x:v>Exploring the use of low-code software development in the manufacturing industry</x:v>
      </x:c>
      <x:c r="D45" s="14" t="str">
        <x:v>M. Henriksson</x:v>
      </x:c>
      <x:c r="E45" s="14" t="str">
        <x:v>DiVA portal thesis</x:v>
      </x:c>
      <x:c r="F45" s="14" t="str">
        <x:v>Manufacturing / low-code adoption</x:v>
      </x:c>
      <x:c r="G45" s="14" t="str">
        <x:v>Thesis</x:v>
      </x:c>
      <x:c r="H45" s="14" t="str">
        <x:v>https://www.diva-portal.org/smash/record.jsf?pid=diva2:1843901</x:v>
      </x:c>
      <x:c r="I45" s="14" t="str">
        <x:v>https://www.diva-portal.org/smash/get/diva2%3A1843901/FULLTEXT01.pdf</x:v>
      </x:c>
      <x:c r="J45" s="14" t="str">
        <x:v>Direct institutional PDF</x:v>
      </x:c>
      <x:c r="K45" s="14" t="str">
        <x:v>Background source for manufacturing context; not a top-50 priority. New addition; thesis, not core paper but useful domain context.</x:v>
      </x:c>
      <x:c r="L45" s="14" t="str">
        <x:v>DiVA 2024</x:v>
      </x:c>
    </x:row>
    <x:row r="46" ht="64" customHeight="1">
      <x:c r="A46" s="14" t="str">
        <x:v>N45</x:v>
      </x:c>
      <x:c r="B46" s="14" t="n">
        <x:v>2025</x:v>
      </x:c>
      <x:c r="C46" s="14" t="str">
        <x:v>Citizen Development, Low-Code/No-Code Platforms, and the Evolution of Generative AI in Software Development</x:v>
      </x:c>
      <x:c r="D46" s="14" t="str">
        <x:v>J. T. Sodano; Joanna F. DeFranco; Phil Laplante</x:v>
      </x:c>
      <x:c r="E46" s="14" t="str">
        <x:v>Computer (IEEE Computer Society)</x:v>
      </x:c>
      <x:c r="F46" s="14" t="str">
        <x:v>Citizen development / GenAI governance</x:v>
      </x:c>
      <x:c r="G46" s="14" t="str">
        <x:v>Peer-reviewed IEEE Computer article</x:v>
      </x:c>
      <x:c r="H46" s="14" t="str">
        <x:v>https://doi.org/10.1109/MC.2025.3547073</x:v>
      </x:c>
      <x:c r="I46" s="14" t="str"/>
      <x:c r="J46" s="14" t="str">
        <x:v>Article DOI only</x:v>
      </x:c>
      <x:c r="K46" s="14" t="str">
        <x:v>Useful current practitioner-academic framing for citizen development and GenAI governance risks. New addition; short IEEE Computer article on citizen development, LCNC, GenAI, governance and security.</x:v>
      </x:c>
      <x:c r="L46" s="14" t="str">
        <x:v>IEEE Computer 58(5), 101-104, 2025</x:v>
      </x:c>
    </x:row>
    <x:row r="47" ht="64" customHeight="1"/>
    <x:row r="48" ht="64" customHeight="1"/>
    <x:row r="49" ht="64" customHeight="1"/>
    <x:row r="50" ht="64" customHeight="1"/>
    <x:row r="51" ht="64" customHeight="1"/>
    <x:row r="52" ht="64" customHeight="1"/>
    <x:row r="53" ht="64" customHeight="1"/>
    <x:row r="54" ht="64" customHeight="1"/>
    <x:row r="55" ht="64" customHeight="1"/>
    <x:row r="56" ht="64" customHeight="1"/>
    <x:row r="57" ht="64" customHeight="1"/>
    <x:row r="58" ht="64" customHeight="1"/>
    <x:row r="59" ht="64" customHeight="1"/>
    <x:row r="60" ht="64" customHeight="1"/>
    <x:row r="61" ht="64" customHeight="1"/>
    <x:row r="62" ht="64" customHeight="1"/>
    <x:row r="63" ht="64" customHeight="1"/>
    <x:row r="64" ht="64" customHeight="1"/>
    <x:row r="65" ht="64" customHeight="1"/>
    <x:row r="66" ht="64" customHeight="1"/>
    <x:row r="67" ht="64" customHeight="1"/>
    <x:row r="68" ht="64" customHeight="1"/>
    <x:row r="69" ht="64" customHeight="1"/>
    <x:row r="70" ht="64" customHeight="1"/>
    <x:row r="71" ht="64" customHeight="1"/>
    <x:row r="72" ht="64" customHeight="1"/>
    <x:row r="73" ht="64" customHeight="1"/>
    <x:row r="74" ht="64" customHeight="1"/>
    <x:row r="75" ht="64" customHeight="1"/>
    <x:row r="76" ht="64" customHeight="1"/>
    <x:row r="77" ht="64" customHeight="1"/>
    <x:row r="78" ht="64" customHeight="1"/>
    <x:row r="79" ht="64" customHeight="1"/>
    <x:row r="80" ht="64" customHeight="1"/>
    <x:row r="81" ht="64" customHeight="1"/>
    <x:row r="82" ht="64" customHeight="1"/>
    <x:row r="83" ht="64" customHeight="1"/>
    <x:row r="84" ht="64" customHeight="1"/>
    <x:row r="85" ht="64" customHeight="1"/>
    <x:row r="86" ht="64" customHeight="1"/>
    <x:row r="87" ht="64" customHeight="1"/>
    <x:row r="88" ht="64" customHeight="1"/>
    <x:row r="89" ht="64" customHeight="1"/>
    <x:row r="90" ht="64" customHeight="1"/>
    <x:row r="91" ht="64" customHeight="1"/>
    <x:row r="92" ht="64" customHeight="1"/>
    <x:row r="93" ht="64" customHeight="1"/>
    <x:row r="94" ht="64" customHeight="1"/>
    <x:row r="95" ht="64" customHeight="1"/>
    <x:row r="96" ht="64" customHeight="1"/>
    <x:row r="97" ht="64" customHeight="1"/>
    <x:row r="98" ht="64" customHeight="1"/>
    <x:row r="99" ht="64" customHeight="1"/>
    <x:row r="100" ht="64" customHeight="1"/>
    <x:row r="101" ht="64" customHeight="1"/>
    <x:row r="102" ht="64" customHeight="1"/>
    <x:row r="103" ht="64" customHeight="1"/>
    <x:row r="104" ht="64" customHeight="1"/>
    <x:row r="105" ht="64" customHeight="1"/>
    <x:row r="106" ht="64" customHeight="1"/>
    <x:row r="107" ht="64" customHeight="1"/>
    <x:row r="108" ht="64" customHeight="1"/>
    <x:row r="109" ht="64" customHeight="1"/>
    <x:row r="110" ht="64" customHeight="1"/>
    <x:row r="111" ht="64" customHeight="1"/>
    <x:row r="112" ht="64" customHeight="1"/>
    <x:row r="113" ht="64" customHeight="1"/>
    <x:row r="114" ht="64" customHeight="1"/>
    <x:row r="115" ht="64" customHeight="1"/>
    <x:row r="116" ht="64" customHeight="1"/>
    <x:row r="117" ht="64" customHeight="1"/>
    <x:row r="118" ht="64" customHeight="1"/>
    <x:row r="119" ht="64" customHeight="1"/>
    <x:row r="120" ht="64" customHeight="1"/>
    <x:row r="121" ht="64" customHeight="1"/>
    <x:row r="122" ht="64" customHeight="1"/>
    <x:row r="123" ht="64" customHeight="1"/>
    <x:row r="124" ht="64" customHeight="1"/>
    <x:row r="125" ht="64" customHeight="1"/>
    <x:row r="126" ht="64" customHeight="1"/>
    <x:row r="127" ht="64" customHeight="1"/>
    <x:row r="128" ht="64" customHeight="1"/>
    <x:row r="129" ht="64" customHeight="1"/>
    <x:row r="130" ht="64" customHeight="1"/>
    <x:row r="131" ht="64" customHeight="1"/>
    <x:row r="132" ht="64" customHeight="1"/>
    <x:row r="133" ht="64" customHeight="1"/>
    <x:row r="134" ht="64" customHeight="1"/>
    <x:row r="135" ht="64" customHeight="1"/>
    <x:row r="136" ht="64" customHeight="1"/>
    <x:row r="137" ht="64" customHeight="1"/>
    <x:row r="138" ht="64" customHeight="1"/>
    <x:row r="139" ht="64" customHeight="1"/>
    <x:row r="140" ht="64" customHeight="1"/>
    <x:row r="141" ht="64" customHeight="1"/>
    <x:row r="142" ht="64" customHeight="1"/>
    <x:row r="143" ht="64" customHeight="1"/>
    <x:row r="144" ht="64" customHeight="1"/>
    <x:row r="145" ht="64" customHeight="1"/>
    <x:row r="146" ht="64" customHeight="1"/>
    <x:row r="147" ht="64" customHeight="1"/>
    <x:row r="148" ht="64" customHeight="1"/>
    <x:row r="149" ht="64" customHeight="1"/>
    <x:row r="150" ht="64" customHeight="1"/>
    <x:row r="151" ht="64" customHeight="1"/>
    <x:row r="152" ht="64" customHeight="1"/>
    <x:row r="153" ht="64" customHeight="1"/>
    <x:row r="154" ht="64" customHeight="1"/>
    <x:row r="155" ht="64" customHeight="1"/>
    <x:row r="156" ht="64" customHeight="1"/>
    <x:row r="157" ht="64" customHeight="1"/>
    <x:row r="158" ht="64" customHeight="1"/>
    <x:row r="159" ht="64" customHeight="1"/>
    <x:row r="160" ht="64" customHeight="1"/>
    <x:row r="161" ht="64" customHeight="1"/>
    <x:row r="162" ht="64" customHeight="1"/>
    <x:row r="163" ht="64" customHeight="1"/>
    <x:row r="164" ht="64" customHeight="1"/>
    <x:row r="165" ht="64" customHeight="1"/>
    <x:row r="166" ht="64" customHeight="1"/>
    <x:row r="167" ht="64" customHeight="1"/>
    <x:row r="168" ht="64" customHeight="1"/>
    <x:row r="169" ht="64" customHeight="1"/>
    <x:row r="170" ht="64" customHeight="1"/>
    <x:row r="171" ht="64" customHeight="1"/>
    <x:row r="172" ht="64" customHeight="1"/>
    <x:row r="173" ht="64" customHeight="1"/>
    <x:row r="174" ht="64" customHeight="1"/>
    <x:row r="175" ht="64" customHeight="1"/>
    <x:row r="176" ht="64" customHeight="1"/>
    <x:row r="177" ht="64" customHeight="1"/>
    <x:row r="178" ht="64" customHeight="1"/>
    <x:row r="179" ht="64" customHeight="1"/>
    <x:row r="180" ht="64" customHeight="1"/>
    <x:row r="181" ht="64" customHeight="1"/>
    <x:row r="182" ht="64" customHeight="1"/>
    <x:row r="183" ht="64" customHeight="1"/>
    <x:row r="184" ht="64" customHeight="1"/>
    <x:row r="185" ht="64" customHeight="1"/>
    <x:row r="186" ht="64" customHeight="1"/>
    <x:row r="187" ht="64" customHeight="1"/>
    <x:row r="188" ht="64" customHeight="1"/>
    <x:row r="189" ht="64" customHeight="1"/>
    <x:row r="190" ht="64" customHeight="1"/>
    <x:row r="191" ht="64" customHeight="1"/>
    <x:row r="192" ht="64" customHeight="1"/>
    <x:row r="193" ht="64" customHeight="1"/>
    <x:row r="194" ht="64" customHeight="1"/>
    <x:row r="195" ht="64" customHeight="1"/>
    <x:row r="196" ht="64" customHeight="1"/>
    <x:row r="197" ht="64" customHeight="1"/>
    <x:row r="198" ht="64" customHeight="1"/>
    <x:row r="199" ht="64" customHeight="1"/>
    <x:row r="200" ht="64" customHeight="1"/>
  </x:sheetData>
  <x:conditionalFormatting sqref="I2:I46">
    <x:cfRule type="expression" dxfId="3" priority="1">
      <x:formula>LEN($I2)&gt;0</x:formula>
    </x:cfRule>
  </x:conditionalFormatting>
  <x:pageMargins left="0.7" right="0.7" top="0.75" bottom="0.75" header="0.3" footer="0.3"/>
  <x:tableParts count="1">
    <x:tablePart xmlns:r="http://schemas.openxmlformats.org/officeDocument/2006/relationships" r:id="Raae97094c6af4c3b"/>
  </x:tableParts>
</x:worksheet>
</file>

<file path=xl/worksheets/sheet5.xml><?xml version="1.0" encoding="utf-8"?>
<x:worksheet xmlns:x="http://schemas.openxmlformats.org/spreadsheetml/2006/main">
  <x:sheetFormatPr defaultRowHeight="15"/>
  <x:cols>
    <x:col min="1" max="1" width="8" hidden="0" customWidth="1"/>
    <x:col min="2" max="2" width="8" hidden="0" customWidth="1"/>
    <x:col min="3" max="3" width="42" hidden="0" customWidth="1"/>
    <x:col min="4" max="4" width="30" hidden="0" customWidth="1"/>
    <x:col min="5" max="5" width="24" hidden="0" customWidth="1"/>
    <x:col min="6" max="6" width="24" hidden="0" customWidth="1"/>
    <x:col min="7" max="7" width="44" hidden="0" customWidth="1"/>
    <x:col min="8" max="8" width="38" hidden="0" customWidth="1"/>
    <x:col min="9" max="9" width="38" hidden="0" customWidth="1"/>
    <x:col min="10" max="10" width="22" hidden="0" customWidth="1"/>
    <x:col min="11" max="11" width="24" hidden="0" customWidth="1"/>
    <x:col min="12" max="12" width="28" hidden="0" customWidth="1"/>
  </x:cols>
  <x:sheetData>
    <x:row r="1" ht="32" customHeight="1">
      <x:c r="A1" s="36" t="str">
        <x:v>Rank</x:v>
      </x:c>
      <x:c r="B1" s="36" t="str">
        <x:v>Year</x:v>
      </x:c>
      <x:c r="C1" s="6" t="str">
        <x:v>Title</x:v>
      </x:c>
      <x:c r="D1" s="6" t="str">
        <x:v>Authors</x:v>
      </x:c>
      <x:c r="E1" s="6" t="str">
        <x:v>Venue</x:v>
      </x:c>
      <x:c r="F1" s="6" t="str">
        <x:v>Theme</x:v>
      </x:c>
      <x:c r="G1" s="6" t="str">
        <x:v>Why_Selected</x:v>
      </x:c>
      <x:c r="H1" s="6" t="str">
        <x:v>Article_URL</x:v>
      </x:c>
      <x:c r="I1" s="6" t="str">
        <x:v>Direct_PDF_URL</x:v>
      </x:c>
      <x:c r="J1" s="6" t="str">
        <x:v>Access_Status</x:v>
      </x:c>
      <x:c r="K1" s="6" t="str">
        <x:v>Source_Group</x:v>
      </x:c>
      <x:c r="L1" s="6" t="str">
        <x:v>Quality_Note</x:v>
      </x:c>
    </x:row>
    <x:row r="2" ht="64" customHeight="1">
      <x:c r="A2" s="14" t="n">
        <x:v>1</x:v>
      </x:c>
      <x:c r="B2" s="14" t="n">
        <x:v>2026</x:v>
      </x:c>
      <x:c r="C2" s="14" t="str">
        <x:v>AI-for-Science Low-code Platform with Bayesian Adversarial Multi-Agent Framework</x:v>
      </x:c>
      <x:c r="D2" s="14" t="str">
        <x:v>Zihang Zeng; Jiaquan Zhang; Pengze Li; Yuan Qi; Xi Chen</x:v>
      </x:c>
      <x:c r="E2" s="14" t="str">
        <x:v>arXiv</x:v>
      </x:c>
      <x:c r="F2" s="14" t="str">
        <x:v>AI/LLM + science platform</x:v>
      </x:c>
      <x:c r="G2" s="14" t="str">
        <x:v>Most recent 2026 LCNC+AI platform paper; broad applicability beyond enterprise apps.</x:v>
      </x:c>
      <x:c r="H2" s="14" t="str">
        <x:v>https://arxiv.org/abs/2603.03233</x:v>
      </x:c>
      <x:c r="I2" s="14" t="str">
        <x:v>https://arxiv.org/pdf/2603.03233</x:v>
      </x:c>
      <x:c r="J2" s="14" t="str">
        <x:v>Direct arXiv PDF</x:v>
      </x:c>
      <x:c r="K2" s="14" t="str">
        <x:v>Original corpus / previous curated top 30</x:v>
      </x:c>
      <x:c r="L2" s="14" t="str">
        <x:v>Selected in previous 30-paper shortlist and retained in final 50</x:v>
      </x:c>
    </x:row>
    <x:row r="3" ht="64" customHeight="1">
      <x:c r="A3" s="14" t="n">
        <x:v>2</x:v>
      </x:c>
      <x:c r="B3" s="14" t="n">
        <x:v>2026</x:v>
      </x:c>
      <x:c r="C3" s="14" t="str">
        <x:v>Low-code and no-code with BESSER to create and deploy smart web applications</x:v>
      </x:c>
      <x:c r="D3" s="14" t="str">
        <x:v>Iván Alfonso; Armen Sulejmani; Aaron Conrardy; Jordi Cabot</x:v>
      </x:c>
      <x:c r="E3" s="14" t="str">
        <x:v>arXiv</x:v>
      </x:c>
      <x:c r="F3" s="14" t="str">
        <x:v>Open-source LCNC platform</x:v>
      </x:c>
      <x:c r="G3" s="14" t="str">
        <x:v>2026 BESSER smart web-app paper; useful for tool/platform architecture discussion.</x:v>
      </x:c>
      <x:c r="H3" s="14" t="str">
        <x:v>https://arxiv.org/abs/2605.07376</x:v>
      </x:c>
      <x:c r="I3" s="14" t="str">
        <x:v>https://arxiv.org/pdf/2605.07376</x:v>
      </x:c>
      <x:c r="J3" s="14" t="str">
        <x:v>Direct arXiv PDF</x:v>
      </x:c>
      <x:c r="K3" s="14" t="str">
        <x:v>Original corpus / previous curated top 30</x:v>
      </x:c>
      <x:c r="L3" s="14" t="str">
        <x:v>Selected in previous 30-paper shortlist and retained in final 50</x:v>
      </x:c>
    </x:row>
    <x:row r="4" ht="64" customHeight="1">
      <x:c r="A4" s="14" t="n">
        <x:v>3</x:v>
      </x:c>
      <x:c r="B4" s="14" t="n">
        <x:v>2026</x:v>
      </x:c>
      <x:c r="C4" s="14" t="str">
        <x:v>Design Behaviour and Interface Consistency in Generative No-Code Tools: A Systematic Literature Review</x:v>
      </x:c>
      <x:c r="D4" s="14" t="str">
        <x:v>Authors not verified from open metadata in this session</x:v>
      </x:c>
      <x:c r="E4" s="14" t="str">
        <x:v>MDPI Computers</x:v>
      </x:c>
      <x:c r="F4" s="14" t="str">
        <x:v>Generative no-code SLR</x:v>
      </x:c>
      <x:c r="G4" s="14" t="str">
        <x:v>Newest systematic review focused on generative no-code interface consistency.</x:v>
      </x:c>
      <x:c r="H4" s="14" t="str">
        <x:v>https://www.mdpi.com/2073-431X/15/4/238</x:v>
      </x:c>
      <x:c r="I4" s="14" t="str">
        <x:v>https://www.mdpi.com/2073-431X/15/4/238/pdf</x:v>
      </x:c>
      <x:c r="J4" s="14" t="str">
        <x:v>Open-access publisher PDF</x:v>
      </x:c>
      <x:c r="K4" s="14" t="str">
        <x:v>Original corpus / previous curated top 30</x:v>
      </x:c>
      <x:c r="L4" s="14" t="str">
        <x:v>Selected in previous 30-paper shortlist and retained in final 50</x:v>
      </x:c>
    </x:row>
    <x:row r="5" ht="64" customHeight="1">
      <x:c r="A5" s="14" t="n">
        <x:v>4</x:v>
      </x:c>
      <x:c r="B5" s="14" t="n">
        <x:v>2025</x:v>
      </x:c>
      <x:c r="C5" s="14" t="str">
        <x:v>LLM4FaaS: No-Code Application Development using LLMs and FaaS</x:v>
      </x:c>
      <x:c r="D5" s="14" t="str">
        <x:v>Minghe Wang; Tobias Pfandzelter; Trever Schirmer; David Bermbach</x:v>
      </x:c>
      <x:c r="E5" s="14" t="str">
        <x:v>arXiv</x:v>
      </x:c>
      <x:c r="F5" s="14" t="str">
        <x:v>No-code LLM/FaaS</x:v>
      </x:c>
      <x:c r="G5" s="14" t="str">
        <x:v>Strong 2025 no-code application development pipeline with deployment evidence.</x:v>
      </x:c>
      <x:c r="H5" s="14" t="str">
        <x:v>https://arxiv.org/abs/2502.14450</x:v>
      </x:c>
      <x:c r="I5" s="14" t="str">
        <x:v>https://arxiv.org/pdf/2502.14450</x:v>
      </x:c>
      <x:c r="J5" s="14" t="str">
        <x:v>Direct arXiv PDF</x:v>
      </x:c>
      <x:c r="K5" s="14" t="str">
        <x:v>Original corpus / previous curated top 30</x:v>
      </x:c>
      <x:c r="L5" s="14" t="str">
        <x:v>Selected in previous 30-paper shortlist and retained in final 50</x:v>
      </x:c>
    </x:row>
    <x:row r="6" ht="64" customHeight="1">
      <x:c r="A6" s="14" t="n">
        <x:v>5</x:v>
      </x:c>
      <x:c r="B6" s="14" t="n">
        <x:v>2025</x:v>
      </x:c>
      <x:c r="C6" s="14" t="str">
        <x:v>Exploring Influence Factors on LLM Suitability for No-Code Development of End User IoT Applications</x:v>
      </x:c>
      <x:c r="D6" s="14" t="str">
        <x:v>Minghe Wang; Alexandra Kapp; Trever Schirmer; Tobias Pfandzelter; David Bermbach</x:v>
      </x:c>
      <x:c r="E6" s="14" t="str">
        <x:v>arXiv</x:v>
      </x:c>
      <x:c r="F6" s="14" t="str">
        <x:v>LLM suitability / IoT no-code</x:v>
      </x:c>
      <x:c r="G6" s="14" t="str">
        <x:v>Recent no-code IoT/LLM suitability study; useful for limits and task-fit framing.</x:v>
      </x:c>
      <x:c r="H6" s="14" t="str">
        <x:v>https://arxiv.org/abs/2505.04710</x:v>
      </x:c>
      <x:c r="I6" s="14" t="str">
        <x:v>https://arxiv.org/pdf/2505.04710</x:v>
      </x:c>
      <x:c r="J6" s="14" t="str">
        <x:v>Direct arXiv PDF</x:v>
      </x:c>
      <x:c r="K6" s="14" t="str">
        <x:v>Original corpus / previous curated top 30</x:v>
      </x:c>
      <x:c r="L6" s="14" t="str">
        <x:v>Selected in previous 30-paper shortlist and retained in final 50</x:v>
      </x:c>
    </x:row>
    <x:row r="7" ht="64" customHeight="1">
      <x:c r="A7" s="14" t="n">
        <x:v>6</x:v>
      </x:c>
      <x:c r="B7" s="14" t="n">
        <x:v>2025</x:v>
      </x:c>
      <x:c r="C7" s="14" t="str">
        <x:v>DMN-Guided Prompting: A Low-Code Framework for Controlling LLM Behavior</x:v>
      </x:c>
      <x:c r="D7" s="14" t="str">
        <x:v>Shaghayegh Abedi; Amin Jalali</x:v>
      </x:c>
      <x:c r="E7" s="14" t="str">
        <x:v>arXiv</x:v>
      </x:c>
      <x:c r="F7" s="14" t="str">
        <x:v>Low-code prompt control</x:v>
      </x:c>
      <x:c r="G7" s="14" t="str">
        <x:v>Relevant bridge between business rules/DMN and controlled LLM behavior.</x:v>
      </x:c>
      <x:c r="H7" s="14" t="str">
        <x:v>https://arxiv.org/abs/2505.11701</x:v>
      </x:c>
      <x:c r="I7" s="14" t="str">
        <x:v>https://arxiv.org/pdf/2505.11701</x:v>
      </x:c>
      <x:c r="J7" s="14" t="str">
        <x:v>Direct arXiv PDF</x:v>
      </x:c>
      <x:c r="K7" s="14" t="str">
        <x:v>Original corpus / previous curated top 30</x:v>
      </x:c>
      <x:c r="L7" s="14" t="str">
        <x:v>Selected in previous 30-paper shortlist and retained in final 50</x:v>
      </x:c>
    </x:row>
    <x:row r="8" ht="64" customHeight="1">
      <x:c r="A8" s="14" t="n">
        <x:v>7</x:v>
      </x:c>
      <x:c r="B8" s="14" t="n">
        <x:v>2025</x:v>
      </x:c>
      <x:c r="C8" s="14" t="str">
        <x:v>Fine-Tune an SLM or Prompt an LLM? The Case of Generating Low-Code Workflows</x:v>
      </x:c>
      <x:c r="D8" s="14" t="str">
        <x:v>Orlando Marquez Ayala; Patrice Bechard; Emily Chen; Maggie Baird; Jingfei Chen</x:v>
      </x:c>
      <x:c r="E8" s="14" t="str">
        <x:v>arXiv</x:v>
      </x:c>
      <x:c r="F8" s="14" t="str">
        <x:v>Low-code workflow generation</x:v>
      </x:c>
      <x:c r="G8" s="14" t="str">
        <x:v>Targets practical workflow generation choices for LCNC/LLM systems.</x:v>
      </x:c>
      <x:c r="H8" s="14" t="str">
        <x:v>https://arxiv.org/abs/2505.24189</x:v>
      </x:c>
      <x:c r="I8" s="14" t="str">
        <x:v>https://arxiv.org/pdf/2505.24189</x:v>
      </x:c>
      <x:c r="J8" s="14" t="str">
        <x:v>Direct arXiv PDF</x:v>
      </x:c>
      <x:c r="K8" s="14" t="str">
        <x:v>Original corpus / previous curated top 30</x:v>
      </x:c>
      <x:c r="L8" s="14" t="str">
        <x:v>Selected in previous 30-paper shortlist and retained in final 50</x:v>
      </x:c>
    </x:row>
    <x:row r="9" ht="64" customHeight="1">
      <x:c r="A9" s="14" t="n">
        <x:v>8</x:v>
      </x:c>
      <x:c r="B9" s="14" t="n">
        <x:v>2025</x:v>
      </x:c>
      <x:c r="C9" s="14" t="str">
        <x:v>NoCode-bench: A Benchmark for Evaluating Natural Language-Driven Feature Addition</x:v>
      </x:c>
      <x:c r="D9" s="14" t="str">
        <x:v>Le Deng; Zhonghao Jiang; Jialun Cao; Michael Pradel; Zhongxin Liu</x:v>
      </x:c>
      <x:c r="E9" s="14" t="str">
        <x:v>arXiv</x:v>
      </x:c>
      <x:c r="F9" s="14" t="str">
        <x:v>Benchmark / evaluation</x:v>
      </x:c>
      <x:c r="G9" s="14" t="str">
        <x:v>Benchmark paper for natural-language-driven feature addition; valuable for evaluation section.</x:v>
      </x:c>
      <x:c r="H9" s="14" t="str">
        <x:v>https://arxiv.org/abs/2507.18130</x:v>
      </x:c>
      <x:c r="I9" s="14" t="str">
        <x:v>https://arxiv.org/pdf/2507.18130</x:v>
      </x:c>
      <x:c r="J9" s="14" t="str">
        <x:v>Direct arXiv PDF</x:v>
      </x:c>
      <x:c r="K9" s="14" t="str">
        <x:v>Original corpus / previous curated top 30</x:v>
      </x:c>
      <x:c r="L9" s="14" t="str">
        <x:v>Selected in previous 30-paper shortlist and retained in final 50</x:v>
      </x:c>
    </x:row>
    <x:row r="10" ht="64" customHeight="1">
      <x:c r="A10" s="14" t="n">
        <x:v>9</x:v>
      </x:c>
      <x:c r="B10" s="14" t="n">
        <x:v>2025</x:v>
      </x:c>
      <x:c r="C10" s="14" t="str">
        <x:v>Review of Tools for Zero-Code LLM Based Application Development</x:v>
      </x:c>
      <x:c r="D10" s="14" t="str">
        <x:v>Priyaranjan Pattnayak; Hussain Bohra</x:v>
      </x:c>
      <x:c r="E10" s="14" t="str">
        <x:v>arXiv</x:v>
      </x:c>
      <x:c r="F10" s="14" t="str">
        <x:v>Zero-code LLM tools review</x:v>
      </x:c>
      <x:c r="G10" s="14" t="str">
        <x:v>Directly aligned with low/no-code tools and LLM-based app-development tools.</x:v>
      </x:c>
      <x:c r="H10" s="14" t="str">
        <x:v>https://arxiv.org/abs/2510.19747</x:v>
      </x:c>
      <x:c r="I10" s="14" t="str">
        <x:v>https://arxiv.org/pdf/2510.19747</x:v>
      </x:c>
      <x:c r="J10" s="14" t="str">
        <x:v>Direct arXiv PDF</x:v>
      </x:c>
      <x:c r="K10" s="14" t="str">
        <x:v>Original corpus / previous curated top 30</x:v>
      </x:c>
      <x:c r="L10" s="14" t="str">
        <x:v>Selected in previous 30-paper shortlist and retained in final 50</x:v>
      </x:c>
    </x:row>
    <x:row r="11" ht="64" customHeight="1">
      <x:c r="A11" s="14" t="n">
        <x:v>10</x:v>
      </x:c>
      <x:c r="B11" s="14" t="n">
        <x:v>2025</x:v>
      </x:c>
      <x:c r="C11" s="14" t="str">
        <x:v>Towards LLM-powered consistency in model-based low-code platforms</x:v>
      </x:c>
      <x:c r="D11" s="14" t="str">
        <x:v>Authors not verified from open metadata in this session</x:v>
      </x:c>
      <x:c r="E11" s="14" t="str">
        <x:v>KITopen / Karlsruhe Institute of Technology</x:v>
      </x:c>
      <x:c r="F11" s="14" t="str">
        <x:v>Model-based LC + LLM consistency</x:v>
      </x:c>
      <x:c r="G11" s="14" t="str">
        <x:v>Adds model-based low-code consistency angle; credible repository page and PDF.</x:v>
      </x:c>
      <x:c r="H11" s="14" t="str">
        <x:v>https://publikationen.bibliothek.kit.edu/1000180779</x:v>
      </x:c>
      <x:c r="I11" s="14" t="str">
        <x:v>https://publikationen.bibliothek.kit.edu/1000180779/164563597</x:v>
      </x:c>
      <x:c r="J11" s="14" t="str">
        <x:v>Repository PDF</x:v>
      </x:c>
      <x:c r="K11" s="14" t="str">
        <x:v>Original corpus / previous curated top 30</x:v>
      </x:c>
      <x:c r="L11" s="14" t="str">
        <x:v>Selected in previous 30-paper shortlist and retained in final 50</x:v>
      </x:c>
    </x:row>
    <x:row r="12" ht="64" customHeight="1">
      <x:c r="A12" s="14" t="n">
        <x:v>11</x:v>
      </x:c>
      <x:c r="B12" s="14" t="n">
        <x:v>2025</x:v>
      </x:c>
      <x:c r="C12" s="14" t="str">
        <x:v>Low-Code and No-Code Development in the Era of Artificial Intelligence: A Systematic Review</x:v>
      </x:c>
      <x:c r="D12" s="14" t="str">
        <x:v>Authors not verified from open metadata in this session</x:v>
      </x:c>
      <x:c r="E12" s="14" t="str">
        <x:v>ResearchGate / systematic review page</x:v>
      </x:c>
      <x:c r="F12" s="14" t="str">
        <x:v>AI-era LCNC SLR</x:v>
      </x:c>
      <x:c r="G12" s="14" t="str">
        <x:v>Recent SLR that helps anchor the review paper's AI-era taxonomy.</x:v>
      </x:c>
      <x:c r="H12" s="14" t="str">
        <x:v>https://dm.ageditor.ar/index.php/dm/article/view/1218</x:v>
      </x:c>
      <x:c r="I12" s="14" t="str">
        <x:v>https://dm.ageditor.ar/index.php/dm/article/download/1218/1356/6654</x:v>
      </x:c>
      <x:c r="J12" s="14" t="str">
        <x:v>Open-access journal PDF</x:v>
      </x:c>
      <x:c r="K12" s="14" t="str">
        <x:v>Original corpus / previous curated top 30</x:v>
      </x:c>
      <x:c r="L12" s="14" t="str">
        <x:v>Selected in previous 30-paper shortlist and retained in final 50</x:v>
      </x:c>
    </x:row>
    <x:row r="13" ht="64" customHeight="1">
      <x:c r="A13" s="14" t="n">
        <x:v>12</x:v>
      </x:c>
      <x:c r="B13" s="14" t="n">
        <x:v>2025</x:v>
      </x:c>
      <x:c r="C13" s="14" t="str">
        <x:v>Navigating Flexibility and Standardisation in Low-Code/No-Code Development</x:v>
      </x:c>
      <x:c r="D13" s="14" t="str">
        <x:v>Altus Viljoen, Benedikt Stelzl, Maoying Yang, Peter A. Nielsen, Stanislav Mamonov</x:v>
      </x:c>
      <x:c r="E13" s="14" t="str">
        <x:v>Information Systems Journal (Wiley)</x:v>
      </x:c>
      <x:c r="F13" s="14" t="str">
        <x:v>Governance / standardisation</x:v>
      </x:c>
      <x:c r="G13" s="14" t="str">
        <x:v>High-quality 2025 Information Systems Journal paper for governance trade-offs.</x:v>
      </x:c>
      <x:c r="H13" s="14" t="str">
        <x:v>https://onlinelibrary.wiley.com/doi/10.1111/isj.70001</x:v>
      </x:c>
      <x:c r="I13" s="14" t="str"/>
      <x:c r="J13" s="14" t="str">
        <x:v>Full article page verified; PDF may require Wiley access</x:v>
      </x:c>
      <x:c r="K13" s="14" t="str">
        <x:v>Original corpus / previous curated top 30</x:v>
      </x:c>
      <x:c r="L13" s="14" t="str">
        <x:v>Selected in previous 30-paper shortlist and retained in final 50</x:v>
      </x:c>
    </x:row>
    <x:row r="14" ht="64" customHeight="1">
      <x:c r="A14" s="14" t="n">
        <x:v>13</x:v>
      </x:c>
      <x:c r="B14" s="14" t="n">
        <x:v>2025</x:v>
      </x:c>
      <x:c r="C14" s="14" t="str">
        <x:v>Bridging Business and IT Through Low-Code/No-Code: Insights into Business-IT Collaboration in Enterprise Citizen Developer Programs</x:v>
      </x:c>
      <x:c r="D14" s="14" t="str">
        <x:v>Björn Binzer, Daniel Fuerstenau, Till J. Winkler</x:v>
      </x:c>
      <x:c r="E14" s="14" t="str">
        <x:v>Hawaii International Conference on System Sciences (HICSS)</x:v>
      </x:c>
      <x:c r="F14" s="14" t="str">
        <x:v>Citizen development / business-IT</x:v>
      </x:c>
      <x:c r="G14" s="14" t="str">
        <x:v>HICSS 2025 paper; directly supports citizen developer and business-IT alignment section.</x:v>
      </x:c>
      <x:c r="H14" s="14" t="str">
        <x:v>https://scholarspace.manoa.hawaii.edu/items/8141b09b-e360-44d7-93db-50afb559e6d0</x:v>
      </x:c>
      <x:c r="I14" s="14" t="str">
        <x:v>https://scholarspace.manoa.hawaii.edu/bitstreams/7b9b77be-722c-4705-9469-1416788f1ef9/download</x:v>
      </x:c>
      <x:c r="J14" s="14" t="str">
        <x:v>Repository PDF</x:v>
      </x:c>
      <x:c r="K14" s="14" t="str">
        <x:v>Original corpus / previous curated top 30</x:v>
      </x:c>
      <x:c r="L14" s="14" t="str">
        <x:v>Selected in previous 30-paper shortlist and retained in final 50</x:v>
      </x:c>
    </x:row>
    <x:row r="15" ht="64" customHeight="1">
      <x:c r="A15" s="14" t="n">
        <x:v>14</x:v>
      </x:c>
      <x:c r="B15" s="14" t="n">
        <x:v>2025</x:v>
      </x:c>
      <x:c r="C15" s="14" t="str">
        <x:v>Democratizing Digital Transformation: A Multisector Study of Low-Code Adoption Patterns, Limitations, and Emerging Paradigms</x:v>
      </x:c>
      <x:c r="D15" s="14" t="str">
        <x:v>Zhengwu Shi, Junyu Dong, Yanhai Gan</x:v>
      </x:c>
      <x:c r="E15" s="14" t="str">
        <x:v>MDPI (Applied Sciences)</x:v>
      </x:c>
      <x:c r="F15" s="14" t="str">
        <x:v>Adoption patterns</x:v>
      </x:c>
      <x:c r="G15" s="14" t="str">
        <x:v>Fresh 2025 multisector adoption study; useful for adoption/limitations themes.</x:v>
      </x:c>
      <x:c r="H15" s="14" t="str">
        <x:v>https://www.mdpi.com/2076-3417/15/12/6481</x:v>
      </x:c>
      <x:c r="I15" s="14" t="str">
        <x:v>https://www.mdpi.com/2076-3417/15/12/6481/pdf</x:v>
      </x:c>
      <x:c r="J15" s="14" t="str">
        <x:v>Open-access publisher PDF</x:v>
      </x:c>
      <x:c r="K15" s="14" t="str">
        <x:v>Original corpus / previous curated top 30</x:v>
      </x:c>
      <x:c r="L15" s="14" t="str">
        <x:v>Selected in previous 30-paper shortlist and retained in final 50</x:v>
      </x:c>
    </x:row>
    <x:row r="16" ht="64" customHeight="1">
      <x:c r="A16" s="14" t="n">
        <x:v>15</x:v>
      </x:c>
      <x:c r="B16" s="14" t="n">
        <x:v>2024</x:v>
      </x:c>
      <x:c r="C16" s="14" t="str">
        <x:v>Potentials and Risks of the Low-Code Development: A Systematic Literature Review</x:v>
      </x:c>
      <x:c r="D16" s="14" t="str">
        <x:v>Stefan Trieflinger, Dimitri Petrik, Ebru Polat, Bastian Roling</x:v>
      </x:c>
      <x:c r="E16" s="14" t="str">
        <x:v>Springer (Herman Hollerith Conference)</x:v>
      </x:c>
      <x:c r="F16" s="14" t="str">
        <x:v>Risks / SLR</x:v>
      </x:c>
      <x:c r="G16" s="14" t="str">
        <x:v>2025 Springer SLR on trade-offs, potentials, and risks; strong for review synthesis.</x:v>
      </x:c>
      <x:c r="H16" s="14" t="str">
        <x:v>https://link.springer.com/chapter/10.1007/978-3-658-48215-2_8</x:v>
      </x:c>
      <x:c r="I16" s="14" t="str">
        <x:v>https://link.springer.com/content/pdf/10.1007/978-3-658-48215-2_8.pdf</x:v>
      </x:c>
      <x:c r="J16" s="14" t="str">
        <x:v>Publisher PDF link</x:v>
      </x:c>
      <x:c r="K16" s="14" t="str">
        <x:v>Original corpus / previous curated top 30</x:v>
      </x:c>
      <x:c r="L16" s="14" t="str">
        <x:v>Selected in previous 30-paper shortlist and retained in final 50</x:v>
      </x:c>
    </x:row>
    <x:row r="17" ht="64" customHeight="1">
      <x:c r="A17" s="14" t="n">
        <x:v>16</x:v>
      </x:c>
      <x:c r="B17" s="14" t="n">
        <x:v>2025</x:v>
      </x:c>
      <x:c r="C17" s="14" t="str">
        <x:v>Addressing Skills Shortages through Low-Code/No-Code: Skill Profiles and Implementation Challenges</x:v>
      </x:c>
      <x:c r="D17" s="14" t="str">
        <x:v>Paul Rozbitski, Christian Leyh, Ching-Ho Ip</x:v>
      </x:c>
      <x:c r="E17" s="14" t="str">
        <x:v>IEEE (Annals of Computer Science and Information Systems)</x:v>
      </x:c>
      <x:c r="F17" s="14" t="str">
        <x:v>Skill profiles</x:v>
      </x:c>
      <x:c r="G17" s="14" t="str">
        <x:v>Recent 2025 paper on skills and implementation challenges; useful for workforce implications.</x:v>
      </x:c>
      <x:c r="H17" s="14" t="str">
        <x:v>https://annals-csis.org/Volume_43/drp/3612.html</x:v>
      </x:c>
      <x:c r="I17" s="14" t="str">
        <x:v>https://annals-csis.org/Volume_43/drp/pdf/3612.pdf</x:v>
      </x:c>
      <x:c r="J17" s="14" t="str">
        <x:v>Open-access conference PDF</x:v>
      </x:c>
      <x:c r="K17" s="14" t="str">
        <x:v>Original corpus / previous curated top 30</x:v>
      </x:c>
      <x:c r="L17" s="14" t="str">
        <x:v>Selected in previous 30-paper shortlist and retained in final 50</x:v>
      </x:c>
    </x:row>
    <x:row r="18" ht="64" customHeight="1">
      <x:c r="A18" s="14" t="n">
        <x:v>17</x:v>
      </x:c>
      <x:c r="B18" s="14" t="n">
        <x:v>2025</x:v>
      </x:c>
      <x:c r="C18" s="14" t="str">
        <x:v>Low-code to fight climate change: the Climaborough project</x:v>
      </x:c>
      <x:c r="D18" s="14" t="str">
        <x:v>Aaron Conrardy; Armen Sulejmani; Cindy Guerlain; Daniele Pagani; David Hick; Matteo Satta; Jordi Cabot</x:v>
      </x:c>
      <x:c r="E18" s="14" t="str">
        <x:v>arXiv</x:v>
      </x:c>
      <x:c r="F18" s="14" t="str">
        <x:v>Case study / public sector</x:v>
      </x:c>
      <x:c r="G18" s="14" t="str">
        <x:v>Topical applied 2025 case linking LCNC and civic/climate platforms.</x:v>
      </x:c>
      <x:c r="H18" s="14" t="str">
        <x:v>https://arxiv.org/abs/2506.14623</x:v>
      </x:c>
      <x:c r="I18" s="14" t="str">
        <x:v>https://arxiv.org/pdf/2506.14623</x:v>
      </x:c>
      <x:c r="J18" s="14" t="str">
        <x:v>Direct arXiv PDF</x:v>
      </x:c>
      <x:c r="K18" s="14" t="str">
        <x:v>Original corpus / previous curated top 30</x:v>
      </x:c>
      <x:c r="L18" s="14" t="str">
        <x:v>Selected in previous 30-paper shortlist and retained in final 50</x:v>
      </x:c>
    </x:row>
    <x:row r="19" ht="64" customHeight="1">
      <x:c r="A19" s="14" t="n">
        <x:v>18</x:v>
      </x:c>
      <x:c r="B19" s="14" t="n">
        <x:v>2024</x:v>
      </x:c>
      <x:c r="C19" s="14" t="str">
        <x:v>Adoption of low-code and no-code development: A systematic literature review and future research agenda</x:v>
      </x:c>
      <x:c r="D19" s="14" t="str">
        <x:v>Matthew Oladeji Ajimati, Noël Carroll, Mary Lou Maher</x:v>
      </x:c>
      <x:c r="E19" s="14" t="str">
        <x:v>Journal of Systems and Software</x:v>
      </x:c>
      <x:c r="F19" s="14" t="str">
        <x:v>SLR + future agenda</x:v>
      </x:c>
      <x:c r="G19" s="14" t="str">
        <x:v>Core systematic review and research agenda in Journal of Systems and Software.</x:v>
      </x:c>
      <x:c r="H19" s="14" t="str">
        <x:v>https://www.sciencedirect.com/science/article/pii/S0164121224003443</x:v>
      </x:c>
      <x:c r="I19" s="14" t="str"/>
      <x:c r="J19" s="14" t="str">
        <x:v>Full article page verified; PDF/access depends on Elsevier OA/access</x:v>
      </x:c>
      <x:c r="K19" s="14" t="str">
        <x:v>Original corpus / previous curated top 30</x:v>
      </x:c>
      <x:c r="L19" s="14" t="str">
        <x:v>Selected in previous 30-paper shortlist and retained in final 50</x:v>
      </x:c>
    </x:row>
    <x:row r="20" ht="64" customHeight="1">
      <x:c r="A20" s="14" t="n">
        <x:v>19</x:v>
      </x:c>
      <x:c r="B20" s="14" t="n">
        <x:v>2024</x:v>
      </x:c>
      <x:c r="C20" s="14" t="str">
        <x:v>Democratizing Machine Learning: A Practical Comparison of Low-Code and No-Code Platforms</x:v>
      </x:c>
      <x:c r="D20" s="14" t="str">
        <x:v>Luis Giraldo, Sergio Laso</x:v>
      </x:c>
      <x:c r="E20" s="14" t="str">
        <x:v>MDPI (Machine Learning and Knowledge Extraction)</x:v>
      </x:c>
      <x:c r="F20" s="14" t="str">
        <x:v>LCNC ML platforms</x:v>
      </x:c>
      <x:c r="G20" s="14" t="str">
        <x:v>Recent practical comparison of low-code/no-code ML platforms; strong tool comparison value.</x:v>
      </x:c>
      <x:c r="H20" s="14" t="str">
        <x:v>https://www.mdpi.com/2504-4990/7/4/141</x:v>
      </x:c>
      <x:c r="I20" s="14" t="str">
        <x:v>https://www.mdpi.com/2504-4990/7/4/141/pdf</x:v>
      </x:c>
      <x:c r="J20" s="14" t="str">
        <x:v>Open-access publisher PDF</x:v>
      </x:c>
      <x:c r="K20" s="14" t="str">
        <x:v>Original corpus / previous curated top 30</x:v>
      </x:c>
      <x:c r="L20" s="14" t="str">
        <x:v>Selected in previous 30-paper shortlist and retained in final 50</x:v>
      </x:c>
    </x:row>
    <x:row r="21" ht="64" customHeight="1">
      <x:c r="A21" s="14" t="n">
        <x:v>20</x:v>
      </x:c>
      <x:c r="B21" s="14" t="n">
        <x:v>2024</x:v>
      </x:c>
      <x:c r="C21" s="14" t="str">
        <x:v>Building BESSER: an open-source low-code platform</x:v>
      </x:c>
      <x:c r="D21" s="14" t="str">
        <x:v>Iván Alfonso; Aaron Conrardy; Armen Sulejmani; Atefeh Nirumand; Fitash Ul Haq; Marcos Gomez-Vazquez; Jean-Sébastien Sottet; Jordi Cabot</x:v>
      </x:c>
      <x:c r="E21" s="14" t="str">
        <x:v>arXiv</x:v>
      </x:c>
      <x:c r="F21" s="14" t="str">
        <x:v>Open-source platform</x:v>
      </x:c>
      <x:c r="G21" s="14" t="str">
        <x:v>Open-source LC platform paper with architecture/tool-building relevance.</x:v>
      </x:c>
      <x:c r="H21" s="14" t="str">
        <x:v>https://arxiv.org/abs/2405.13620</x:v>
      </x:c>
      <x:c r="I21" s="14" t="str">
        <x:v>https://arxiv.org/pdf/2405.13620</x:v>
      </x:c>
      <x:c r="J21" s="14" t="str">
        <x:v>Direct arXiv PDF</x:v>
      </x:c>
      <x:c r="K21" s="14" t="str">
        <x:v>Original corpus / previous curated top 30</x:v>
      </x:c>
      <x:c r="L21" s="14" t="str">
        <x:v>Selected in previous 30-paper shortlist and retained in final 50</x:v>
      </x:c>
    </x:row>
    <x:row r="22" ht="64" customHeight="1">
      <x:c r="A22" s="14" t="n">
        <x:v>21</x:v>
      </x:c>
      <x:c r="B22" s="14" t="n">
        <x:v>2024</x:v>
      </x:c>
      <x:c r="C22" s="14" t="str">
        <x:v>An Empirical Study on Low Code Programming using Traditional vs Large Language Model Support</x:v>
      </x:c>
      <x:c r="D22" s="14" t="str">
        <x:v>Yongkun Liu; Jiachi Chen; Tingting Bi; John Grundy; Yanlin Wang; Jianxing Yu; Ting Chen; Yutian Tang; Zibin Zheng</x:v>
      </x:c>
      <x:c r="E22" s="14" t="str">
        <x:v>arXiv</x:v>
      </x:c>
      <x:c r="F22" s="14" t="str">
        <x:v>Empirical LCP + LLM</x:v>
      </x:c>
      <x:c r="G22" s="14" t="str">
        <x:v>Important empirical comparison of traditional vs LLM support for low-code programming.</x:v>
      </x:c>
      <x:c r="H22" s="14" t="str">
        <x:v>https://arxiv.org/abs/2402.01156</x:v>
      </x:c>
      <x:c r="I22" s="14" t="str">
        <x:v>https://arxiv.org/pdf/2402.01156</x:v>
      </x:c>
      <x:c r="J22" s="14" t="str">
        <x:v>Direct arXiv PDF</x:v>
      </x:c>
      <x:c r="K22" s="14" t="str">
        <x:v>Original corpus / previous curated top 30</x:v>
      </x:c>
      <x:c r="L22" s="14" t="str">
        <x:v>Selected in previous 30-paper shortlist and retained in final 50</x:v>
      </x:c>
    </x:row>
    <x:row r="23" ht="64" customHeight="1">
      <x:c r="A23" s="14" t="n">
        <x:v>22</x:v>
      </x:c>
      <x:c r="B23" s="14" t="n">
        <x:v>2024</x:v>
      </x:c>
      <x:c r="C23" s="14" t="str">
        <x:v>Turning Low-Code Development Platforms into True No-Code with LLMs</x:v>
      </x:c>
      <x:c r="D23" s="14" t="str">
        <x:v>Authors not verified from open metadata in this session</x:v>
      </x:c>
      <x:c r="E23" s="14" t="str">
        <x:v>ResearchGate / conference or preprint page</x:v>
      </x:c>
      <x:c r="F23" s="14" t="str">
        <x:v>LLM-enhanced no-code</x:v>
      </x:c>
      <x:c r="G23" s="14" t="str">
        <x:v>Highly relevant ACM/LLM paper on transforming low-code to no-code interactions.</x:v>
      </x:c>
      <x:c r="H23" s="14" t="str">
        <x:v>https://dl.acm.org/doi/10.1145/3652620.3688334</x:v>
      </x:c>
      <x:c r="I23" s="14" t="str">
        <x:v>https://hal.science/hal-04730443v1/file/Turning_Low_Code_Development_Platforms_into_True_No_Code_preprint.pdf</x:v>
      </x:c>
      <x:c r="J23" s="14" t="str">
        <x:v>Author preprint PDF</x:v>
      </x:c>
      <x:c r="K23" s="14" t="str">
        <x:v>Original corpus / previous curated top 30</x:v>
      </x:c>
      <x:c r="L23" s="14" t="str">
        <x:v>Selected in previous 30-paper shortlist and retained in final 50</x:v>
      </x:c>
    </x:row>
    <x:row r="24" ht="64" customHeight="1">
      <x:c r="A24" s="14" t="n">
        <x:v>23</x:v>
      </x:c>
      <x:c r="B24" s="14" t="n">
        <x:v>2024</x:v>
      </x:c>
      <x:c r="C24" s="14" t="str">
        <x:v>Low-code vs. the developer: An empirical study on the developer experience and efficiency of a no-code platform</x:v>
      </x:c>
      <x:c r="D24" s="14" t="str">
        <x:v>Till Guthardt, Jens Kosiol, Oliver Hohlfeld</x:v>
      </x:c>
      <x:c r="E24" s="14" t="str">
        <x:v>ACM (MODELS '24 Companion)</x:v>
      </x:c>
      <x:c r="F24" s="14" t="str">
        <x:v>Developer experience</x:v>
      </x:c>
      <x:c r="G24" s="14" t="str">
        <x:v>Empirical developer-experience/efficiency evidence for no-code/low-code platforms.</x:v>
      </x:c>
      <x:c r="H24" s="14" t="str">
        <x:v>https://dl.acm.org/doi/10.1145/3652620.3688332</x:v>
      </x:c>
      <x:c r="I24" s="14" t="str">
        <x:v>https://www.uni-kassel.de/eecs/index.php?eID=dumpFile&amp;f=40025&amp;t=f&amp;token=b1a175d421589348da54f15ffb99610ac0d45cd4</x:v>
      </x:c>
      <x:c r="J24" s="14" t="str">
        <x:v>Institutional PDF</x:v>
      </x:c>
      <x:c r="K24" s="14" t="str">
        <x:v>Original corpus / previous curated top 30</x:v>
      </x:c>
      <x:c r="L24" s="14" t="str">
        <x:v>Selected in previous 30-paper shortlist and retained in final 50</x:v>
      </x:c>
    </x:row>
    <x:row r="25" ht="64" customHeight="1">
      <x:c r="A25" s="14" t="n">
        <x:v>24</x:v>
      </x:c>
      <x:c r="B25" s="14" t="n">
        <x:v>2024</x:v>
      </x:c>
      <x:c r="C25" s="14" t="str">
        <x:v>Measuring End-user Developers’ Episodic Experience of a Low-code Development Platform</x:v>
      </x:c>
      <x:c r="D25" s="14" t="str">
        <x:v>Dongmei Gao? , Fabian Fagerholm?</x:v>
      </x:c>
      <x:c r="E25" s="14" t="str">
        <x:v>e-Informatica Software Engineering Journal(EISEJ)</x:v>
      </x:c>
      <x:c r="F25" s="14" t="str">
        <x:v>End-user DX measurement</x:v>
      </x:c>
      <x:c r="G25" s="14" t="str">
        <x:v>Recent measurement study focused on episodic experience in a low-code platform.</x:v>
      </x:c>
      <x:c r="H25" s="14" t="str">
        <x:v>https://www.e-informatyka.pl/index.php/einformatica/volumes/volume-2024/issue-1/article-5/</x:v>
      </x:c>
      <x:c r="I25" s="14" t="str">
        <x:v>https://yadda.icm.edu.pl/baztech/element/bwmeta1.element.baztech-3f7fe73e-7030-4dc1-a483-23cf09c9a351/c/gao_measuring_ei_2024.pdf</x:v>
      </x:c>
      <x:c r="J25" s="14" t="str">
        <x:v>Repository PDF</x:v>
      </x:c>
      <x:c r="K25" s="14" t="str">
        <x:v>Original corpus / previous curated top 30</x:v>
      </x:c>
      <x:c r="L25" s="14" t="str">
        <x:v>Selected in previous 30-paper shortlist and retained in final 50</x:v>
      </x:c>
    </x:row>
    <x:row r="26" ht="64" customHeight="1">
      <x:c r="A26" s="14" t="n">
        <x:v>25</x:v>
      </x:c>
      <x:c r="B26" s="14" t="n">
        <x:v>2024</x:v>
      </x:c>
      <x:c r="C26" s="14" t="str">
        <x:v>Using LowCode and NoCode Tools in DevOps: A Multivocal Literature Review</x:v>
      </x:c>
      <x:c r="D26" s="14" t="str">
        <x:v>Faezeh Khorram, Jean-Marie Mottu, Gerson Sunyé</x:v>
      </x:c>
      <x:c r="E26" s="14" t="str">
        <x:v>Springer (Software Architecture. ECSA 2023 Tracks and Workshops)</x:v>
      </x:c>
      <x:c r="F26" s="14" t="str">
        <x:v>DevOps / MLR</x:v>
      </x:c>
      <x:c r="G26" s="14" t="str">
        <x:v>Multivocal review connecting LCNC tools with DevOps practices.</x:v>
      </x:c>
      <x:c r="H26" s="14" t="str">
        <x:v>https://link.springer.com/chapter/10.1007/978-3-031-50590-4_5</x:v>
      </x:c>
      <x:c r="I26" s="14" t="str"/>
      <x:c r="J26" s="14" t="str">
        <x:v>Full chapter page verified; PDF may require Springer access</x:v>
      </x:c>
      <x:c r="K26" s="14" t="str">
        <x:v>Original corpus / previous curated top 30</x:v>
      </x:c>
      <x:c r="L26" s="14" t="str">
        <x:v>Selected in previous 30-paper shortlist and retained in final 50</x:v>
      </x:c>
    </x:row>
    <x:row r="27" ht="64" customHeight="1">
      <x:c r="A27" s="14" t="n">
        <x:v>26</x:v>
      </x:c>
      <x:c r="B27" s="14" t="n">
        <x:v>2023</x:v>
      </x:c>
      <x:c r="C27" s="14" t="str">
        <x:v>What's Wrong With Low-Code Development Platforms? An Empirical Study of Low-Code Development Platform Bugs</x:v>
      </x:c>
      <x:c r="D27" s="14" t="str">
        <x:v>Dong Liu, He Jiang, Shikai Guo, Yuting Chen, Qiao Lei</x:v>
      </x:c>
      <x:c r="E27" s="14" t="str">
        <x:v>IEEE Transactions on Reliability</x:v>
      </x:c>
      <x:c r="F27" s="14" t="str">
        <x:v>Bugs / reliability</x:v>
      </x:c>
      <x:c r="G27" s="14" t="str">
        <x:v>Empirical bug study from IEEE Transactions on Reliability; key quality/reliability evidence.</x:v>
      </x:c>
      <x:c r="H27" s="14" t="str">
        <x:v>https://ieeexplore.ieee.org/document/10203030</x:v>
      </x:c>
      <x:c r="I27" s="14" t="str"/>
      <x:c r="J27" s="14" t="str">
        <x:v>Full article page verified; PDF may require IEEE access</x:v>
      </x:c>
      <x:c r="K27" s="14" t="str">
        <x:v>Original corpus / previous curated top 30</x:v>
      </x:c>
      <x:c r="L27" s="14" t="str">
        <x:v>Selected in previous 30-paper shortlist and retained in final 50</x:v>
      </x:c>
    </x:row>
    <x:row r="28" ht="64" customHeight="1">
      <x:c r="A28" s="14" t="n">
        <x:v>27</x:v>
      </x:c>
      <x:c r="B28" s="14" t="n">
        <x:v>2023</x:v>
      </x:c>
      <x:c r="C28" s="14" t="str">
        <x:v>Combining low-code development with ChatGPT to novel no-code approaches: A focus-group study</x:v>
      </x:c>
      <x:c r="D28" s="14" t="str">
        <x:v>José Martins, Fernando Branco, Henrique Mamede</x:v>
      </x:c>
      <x:c r="E28" s="14" t="str">
        <x:v>Elsevier (Intelligent Systems with Applications)</x:v>
      </x:c>
      <x:c r="F28" s="14" t="str">
        <x:v>ChatGPT + no-code</x:v>
      </x:c>
      <x:c r="G28" s="14" t="str">
        <x:v>Early and influential Elsevier open-access study combining low-code with ChatGPT.</x:v>
      </x:c>
      <x:c r="H28" s="14" t="str">
        <x:v>https://bibliotecadigital.ipb.pt/entities/publication/29907942-5341-4bd4-a3e3-98315e7b8304</x:v>
      </x:c>
      <x:c r="I28" s="14" t="str">
        <x:v>https://bibliotecadigital.ipb.pt/bitstreams/fceb7ad3-0a2d-4696-ac34-51006dc0b7ae/download</x:v>
      </x:c>
      <x:c r="J28" s="14" t="str">
        <x:v>Open-access repository PDF</x:v>
      </x:c>
      <x:c r="K28" s="14" t="str">
        <x:v>Original corpus / previous curated top 30</x:v>
      </x:c>
      <x:c r="L28" s="14" t="str">
        <x:v>Selected in previous 30-paper shortlist and retained in final 50</x:v>
      </x:c>
    </x:row>
    <x:row r="29" ht="64" customHeight="1">
      <x:c r="A29" s="14" t="n">
        <x:v>28</x:v>
      </x:c>
      <x:c r="B29" s="14" t="n">
        <x:v>2023</x:v>
      </x:c>
      <x:c r="C29" s="14" t="str">
        <x:v>Algorithms in Low-Code-No-Code for Research Applications: A Practical Review</x:v>
      </x:c>
      <x:c r="D29" s="14" t="str">
        <x:v>Fahim Sufi</x:v>
      </x:c>
      <x:c r="E29" s="14" t="str">
        <x:v>MDPI (Algorithms Journal)</x:v>
      </x:c>
      <x:c r="F29" s="14" t="str">
        <x:v>Practical review / research tools</x:v>
      </x:c>
      <x:c r="G29" s="14" t="str">
        <x:v>Practical review of LCNC for research applications; useful for tool capability overview.</x:v>
      </x:c>
      <x:c r="H29" s="14" t="str">
        <x:v>https://www.mdpi.com/1999-4893/16/2/108</x:v>
      </x:c>
      <x:c r="I29" s="14" t="str">
        <x:v>https://www.mdpi.com/1999-4893/16/2/108/pdf</x:v>
      </x:c>
      <x:c r="J29" s="14" t="str">
        <x:v>Open-access publisher PDF</x:v>
      </x:c>
      <x:c r="K29" s="14" t="str">
        <x:v>Original corpus / previous curated top 30</x:v>
      </x:c>
      <x:c r="L29" s="14" t="str">
        <x:v>Selected in previous 30-paper shortlist and retained in final 50</x:v>
      </x:c>
    </x:row>
    <x:row r="30" ht="64" customHeight="1">
      <x:c r="A30" s="14" t="n">
        <x:v>29</x:v>
      </x:c>
      <x:c r="B30" s="14" t="n">
        <x:v>2023</x:v>
      </x:c>
      <x:c r="C30" s="14" t="str">
        <x:v>Exploring Low-Code Development: A Comprehensive Literature Review</x:v>
      </x:c>
      <x:c r="D30" s="14" t="str">
        <x:v>Karlis Rokis, Marite Kirikova</x:v>
      </x:c>
      <x:c r="E30" s="14" t="str">
        <x:v>Complex Systems Informatics and Modeling Quarterly (CSIMQ)</x:v>
      </x:c>
      <x:c r="F30" s="14" t="str">
        <x:v>Comprehensive literature review</x:v>
      </x:c>
      <x:c r="G30" s="14" t="str">
        <x:v>Well-cited 2023 comprehensive review; good foundational synthesis for background.</x:v>
      </x:c>
      <x:c r="H30" s="14" t="str">
        <x:v>https://csimq-journals.rtu.lv/csimq/article/view/csimq.2023-36.04</x:v>
      </x:c>
      <x:c r="I30" s="14" t="str"/>
      <x:c r="J30" s="14" t="str">
        <x:v>Open article page verified; PDF available through article page</x:v>
      </x:c>
      <x:c r="K30" s="14" t="str">
        <x:v>Original corpus / previous curated top 30</x:v>
      </x:c>
      <x:c r="L30" s="14" t="str">
        <x:v>Selected in previous 30-paper shortlist and retained in final 50</x:v>
      </x:c>
    </x:row>
    <x:row r="31" ht="64" customHeight="1">
      <x:c r="A31" s="14" t="n">
        <x:v>30</x:v>
      </x:c>
      <x:c r="B31" s="14" t="n">
        <x:v>2022</x:v>
      </x:c>
      <x:c r="C31" s="14" t="str">
        <x:v>Developer discussion topics on the adoption and barriers of low code software development platforms</x:v>
      </x:c>
      <x:c r="D31" s="14" t="str">
        <x:v>Md Abdullah Al Alamin, Gias Uddin, Sanjay Malakar, Sadia Afroz, Tameem Haider, Anindya Iqbal</x:v>
      </x:c>
      <x:c r="E31" s="14" t="str">
        <x:v>Springer (Empirical Software Engineering)</x:v>
      </x:c>
      <x:c r="F31" s="14" t="str">
        <x:v>Adoption barriers / empirical</x:v>
      </x:c>
      <x:c r="G31" s="14" t="str">
        <x:v>Strong empirical study on adoption barriers and discussion themes; complements governance/adoption papers.</x:v>
      </x:c>
      <x:c r="H31" s="14" t="str">
        <x:v>https://link.springer.com/article/10.1007/s10664-022-10244-0</x:v>
      </x:c>
      <x:c r="I31" s="14" t="str">
        <x:v>https://arxiv.org/pdf/2209.00844</x:v>
      </x:c>
      <x:c r="J31" s="14" t="str">
        <x:v>Author PDF via arXiv</x:v>
      </x:c>
      <x:c r="K31" s="14" t="str">
        <x:v>Original corpus / previous curated top 30</x:v>
      </x:c>
      <x:c r="L31" s="14" t="str">
        <x:v>Selected in previous 30-paper shortlist and retained in final 50</x:v>
      </x:c>
    </x:row>
    <x:row r="32" ht="64" customHeight="1">
      <x:c r="A32" s="14" t="n">
        <x:v>31</x:v>
      </x:c>
      <x:c r="B32" s="14" t="n">
        <x:v>2025</x:v>
      </x:c>
      <x:c r="C32" s="14" t="str">
        <x:v>AIAP: A No-Code Workflow Builder for Non-Experts with Natural Language and Multi-Agent Collaboration</x:v>
      </x:c>
      <x:c r="D32" s="14" t="str">
        <x:v>Hyunjn An; Yongwon Kim; Wonduk Seo; Joonil Park; Daye Kang; Changhoon Oh; Dokyun Kim; Seunghyun Lee</x:v>
      </x:c>
      <x:c r="E32" s="14" t="str">
        <x:v>arXiv / OpenReview preprint</x:v>
      </x:c>
      <x:c r="F32" s="14" t="str">
        <x:v>No-code AI workflow builders</x:v>
      </x:c>
      <x:c r="G32" s="14" t="str">
        <x:v>Strong fit for AI-assisted no-code workflow construction and non-expert use.</x:v>
      </x:c>
      <x:c r="H32" s="14" t="str">
        <x:v>https://arxiv.org/abs/2508.02470</x:v>
      </x:c>
      <x:c r="I32" s="14" t="str">
        <x:v>https://arxiv.org/pdf/2508.02470</x:v>
      </x:c>
      <x:c r="J32" s="14" t="str">
        <x:v>Direct arXiv PDF</x:v>
      </x:c>
      <x:c r="K32" s="14" t="str">
        <x:v>New expansion paper</x:v>
      </x:c>
      <x:c r="L32" s="14" t="str">
        <x:v>Preprint with user-study evidence</x:v>
      </x:c>
    </x:row>
    <x:row r="33" ht="64" customHeight="1">
      <x:c r="A33" s="14" t="n">
        <x:v>32</x:v>
      </x:c>
      <x:c r="B33" s="14" t="n">
        <x:v>2024</x:v>
      </x:c>
      <x:c r="C33" s="14" t="str">
        <x:v>AutoGen Studio: A No-Code Developer Tool for Building and Debugging Multi-Agent Systems</x:v>
      </x:c>
      <x:c r="D33" s="14" t="str">
        <x:v>Adam Fourney; Gagan Bansal; Hussein Mozannar; Cheng Tan; Eduardo Salinas; Erkang Zhu; Friederike Niedtner; Grace Proebsting; Griffin Bassman; Jack Gerrits; Jacob Alber; Peter Chang; Ricky Loynd; Robert West; Victor Dibia; Ahmed Awadallah; Saleema Amershi</x:v>
      </x:c>
      <x:c r="E33" s="14" t="str">
        <x:v>EMNLP 2024 System Demonstrations / ACL Anthology</x:v>
      </x:c>
      <x:c r="F33" s="14" t="str">
        <x:v>No-code multi-agent systems</x:v>
      </x:c>
      <x:c r="G33" s="14" t="str">
        <x:v>Central recent example of no-code agent-system construction and debugging.</x:v>
      </x:c>
      <x:c r="H33" s="14" t="str">
        <x:v>https://aclanthology.org/2024.emnlp-demo.8/</x:v>
      </x:c>
      <x:c r="I33" s="14" t="str">
        <x:v>https://aclanthology.org/2024.emnlp-demo.8.pdf</x:v>
      </x:c>
      <x:c r="J33" s="14" t="str">
        <x:v>Direct ACL Anthology PDF</x:v>
      </x:c>
      <x:c r="K33" s="14" t="str">
        <x:v>New expansion paper</x:v>
      </x:c>
      <x:c r="L33" s="14" t="str">
        <x:v>Peer-reviewed conference demo</x:v>
      </x:c>
    </x:row>
    <x:row r="34" ht="64" customHeight="1">
      <x:c r="A34" s="14" t="n">
        <x:v>33</x:v>
      </x:c>
      <x:c r="B34" s="14" t="n">
        <x:v>2024</x:v>
      </x:c>
      <x:c r="C34" s="14" t="str">
        <x:v>White-box LLM-supported Low-code Engineering: A Vision and First Insights</x:v>
      </x:c>
      <x:c r="D34" s="14" t="str">
        <x:v>Not captured in metadata pass</x:v>
      </x:c>
      <x:c r="E34" s="14" t="str">
        <x:v>ACM MODELS 2024</x:v>
      </x:c>
      <x:c r="F34" s="14" t="str">
        <x:v>LLM-supported low-code engineering</x:v>
      </x:c>
      <x:c r="G34" s="14" t="str">
        <x:v>Strong current bridge between LLMs, MDE and low-code engineering.</x:v>
      </x:c>
      <x:c r="H34" s="14" t="str">
        <x:v>https://dl.acm.org/doi/10.1145/3652620.3687803</x:v>
      </x:c>
      <x:c r="I34" s="14" t="str">
        <x:v>https://dl.acm.org/doi/pdf/10.1145/3652620.3687803</x:v>
      </x:c>
      <x:c r="J34" s="14" t="str">
        <x:v>Direct ACM PDF link</x:v>
      </x:c>
      <x:c r="K34" s="14" t="str">
        <x:v>New expansion paper</x:v>
      </x:c>
      <x:c r="L34" s="14" t="str">
        <x:v>Peer-reviewed ACM MODELS paper</x:v>
      </x:c>
    </x:row>
    <x:row r="35" ht="64" customHeight="1">
      <x:c r="A35" s="14" t="n">
        <x:v>34</x:v>
      </x:c>
      <x:c r="B35" s="14" t="n">
        <x:v>2024</x:v>
      </x:c>
      <x:c r="C35" s="14" t="str">
        <x:v>Towards the interoperability of low-code platforms</x:v>
      </x:c>
      <x:c r="D35" s="14" t="str">
        <x:v>Iván Alfonso; Aaron Conrardy; Jordi Cabot</x:v>
      </x:c>
      <x:c r="E35" s="14" t="str">
        <x:v>arXiv</x:v>
      </x:c>
      <x:c r="F35" s="14" t="str">
        <x:v>Low-code platform interoperability</x:v>
      </x:c>
      <x:c r="G35" s="14" t="str">
        <x:v>Highly relevant to review themes around portability, lock-in and model-driven LCNC.</x:v>
      </x:c>
      <x:c r="H35" s="14" t="str">
        <x:v>https://arxiv.org/abs/2412.05075</x:v>
      </x:c>
      <x:c r="I35" s="14" t="str">
        <x:v>https://arxiv.org/pdf/2412.05075</x:v>
      </x:c>
      <x:c r="J35" s="14" t="str">
        <x:v>Direct arXiv PDF</x:v>
      </x:c>
      <x:c r="K35" s="14" t="str">
        <x:v>New expansion paper</x:v>
      </x:c>
      <x:c r="L35" s="14" t="str">
        <x:v>Preprint / model-driven engineering paper</x:v>
      </x:c>
    </x:row>
    <x:row r="36" ht="64" customHeight="1">
      <x:c r="A36" s="14" t="n">
        <x:v>35</x:v>
      </x:c>
      <x:c r="B36" s="14" t="n">
        <x:v>2024</x:v>
      </x:c>
      <x:c r="C36" s="14" t="str">
        <x:v>ChatIoT: Zero-code Generation of Trigger-action Based IoT Programs</x:v>
      </x:c>
      <x:c r="D36" s="14" t="str">
        <x:v>Not captured in metadata pass</x:v>
      </x:c>
      <x:c r="E36" s="14" t="str">
        <x:v>ACM IMWUT 2024</x:v>
      </x:c>
      <x:c r="F36" s="14" t="str">
        <x:v>Zero-code IoT / trigger-action programming</x:v>
      </x:c>
      <x:c r="G36" s="14" t="str">
        <x:v>Strong peer-reviewed zero-code paper with practical IoT focus.</x:v>
      </x:c>
      <x:c r="H36" s="14" t="str">
        <x:v>https://dl.acm.org/doi/10.1145/3678585</x:v>
      </x:c>
      <x:c r="I36" s="14" t="str">
        <x:v>https://www.emnets.cn/zh/publication/ubicomp-24-chatiot/chatiot.pdf</x:v>
      </x:c>
      <x:c r="J36" s="14" t="str">
        <x:v>Direct author/institution PDF</x:v>
      </x:c>
      <x:c r="K36" s="14" t="str">
        <x:v>New expansion paper</x:v>
      </x:c>
      <x:c r="L36" s="14" t="str">
        <x:v>Peer-reviewed ACM IMWUT</x:v>
      </x:c>
    </x:row>
    <x:row r="37" ht="64" customHeight="1">
      <x:c r="A37" s="14" t="n">
        <x:v>36</x:v>
      </x:c>
      <x:c r="B37" s="14" t="n">
        <x:v>2024</x:v>
      </x:c>
      <x:c r="C37" s="14" t="str">
        <x:v>Towards No-Code Programming of Cobots: Experiments with Code Synthesis by Large Code Models for Conversational Programming</x:v>
      </x:c>
      <x:c r="D37" s="14" t="str">
        <x:v>Chalamalasetti Kranti; Sherzod Hakimov; David Schlangen</x:v>
      </x:c>
      <x:c r="E37" s="14" t="str">
        <x:v>arXiv / ITL4HRI workshop</x:v>
      </x:c>
      <x:c r="F37" s="14" t="str">
        <x:v>No-code robotics/cobot programming</x:v>
      </x:c>
      <x:c r="G37" s="14" t="str">
        <x:v>Important cross-domain example of no-code programming through LLM code synthesis.</x:v>
      </x:c>
      <x:c r="H37" s="14" t="str">
        <x:v>https://arxiv.org/abs/2409.11041</x:v>
      </x:c>
      <x:c r="I37" s="14" t="str">
        <x:v>https://arxiv.org/pdf/2409.11041</x:v>
      </x:c>
      <x:c r="J37" s="14" t="str">
        <x:v>Direct arXiv PDF</x:v>
      </x:c>
      <x:c r="K37" s="14" t="str">
        <x:v>New expansion paper</x:v>
      </x:c>
      <x:c r="L37" s="14" t="str">
        <x:v>Workshop/preprint with experiments</x:v>
      </x:c>
    </x:row>
    <x:row r="38" ht="64" customHeight="1">
      <x:c r="A38" s="14" t="n">
        <x:v>37</x:v>
      </x:c>
      <x:c r="B38" s="14" t="n">
        <x:v>2025</x:v>
      </x:c>
      <x:c r="C38" s="14" t="str">
        <x:v>asanAI: In-Browser, No-Code, Offline-First Machine Learning Toolkit</x:v>
      </x:c>
      <x:c r="D38" s="14" t="str">
        <x:v>Archit Mundra; Alex Kaspar</x:v>
      </x:c>
      <x:c r="E38" s="14" t="str">
        <x:v>arXiv</x:v>
      </x:c>
      <x:c r="F38" s="14" t="str">
        <x:v>No-code machine learning tools</x:v>
      </x:c>
      <x:c r="G38" s="14" t="str">
        <x:v>Useful domain case for democratized ML with no-code constraints.</x:v>
      </x:c>
      <x:c r="H38" s="14" t="str">
        <x:v>https://arxiv.org/abs/2501.06226</x:v>
      </x:c>
      <x:c r="I38" s="14" t="str">
        <x:v>https://arxiv.org/pdf/2501.06226</x:v>
      </x:c>
      <x:c r="J38" s="14" t="str">
        <x:v>Direct arXiv PDF</x:v>
      </x:c>
      <x:c r="K38" s="14" t="str">
        <x:v>New expansion paper</x:v>
      </x:c>
      <x:c r="L38" s="14" t="str">
        <x:v>Preprint/system paper</x:v>
      </x:c>
    </x:row>
    <x:row r="39" ht="64" customHeight="1">
      <x:c r="A39" s="14" t="n">
        <x:v>38</x:v>
      </x:c>
      <x:c r="B39" s="14" t="n">
        <x:v>2025</x:v>
      </x:c>
      <x:c r="C39" s="14" t="str">
        <x:v>Dash: A Low Code Development Platform for AI Applications in Industry</x:v>
      </x:c>
      <x:c r="D39" s="14" t="str">
        <x:v>Yifan Wang; Weijia Song; Yuting Yang; Charif Mahmoudi; Shashank Shekhar; Kenneth P. Birman</x:v>
      </x:c>
      <x:c r="E39" s="14" t="str">
        <x:v>arXiv / IEEE UEMCON version</x:v>
      </x:c>
      <x:c r="F39" s="14" t="str">
        <x:v>Low-code AI applications in industry</x:v>
      </x:c>
      <x:c r="G39" s="14" t="str">
        <x:v>Expands review beyond enterprise app-building into industrial AI platform design.</x:v>
      </x:c>
      <x:c r="H39" s="14" t="str">
        <x:v>https://arxiv.org/abs/2505.21419</x:v>
      </x:c>
      <x:c r="I39" s="14" t="str">
        <x:v>https://arxiv.org/pdf/2505.21419</x:v>
      </x:c>
      <x:c r="J39" s="14" t="str">
        <x:v>Direct arXiv PDF</x:v>
      </x:c>
      <x:c r="K39" s="14" t="str">
        <x:v>New expansion paper</x:v>
      </x:c>
      <x:c r="L39" s="14" t="str">
        <x:v>Preprint of conference-style platform paper</x:v>
      </x:c>
    </x:row>
    <x:row r="40" ht="64" customHeight="1">
      <x:c r="A40" s="14" t="n">
        <x:v>39</x:v>
      </x:c>
      <x:c r="B40" s="14" t="n">
        <x:v>2024</x:v>
      </x:c>
      <x:c r="C40" s="14" t="str">
        <x:v>AI for Low-Code for AI</x:v>
      </x:c>
      <x:c r="D40" s="14" t="str">
        <x:v>Nikhila Rao; Dan Grossman; Katharina Reinecke</x:v>
      </x:c>
      <x:c r="E40" s="14" t="str">
        <x:v>ACM IUI 2024</x:v>
      </x:c>
      <x:c r="F40" s="14" t="str">
        <x:v>AI support for low-code AI development</x:v>
      </x:c>
      <x:c r="G40" s="14" t="str">
        <x:v>High-quality HCI angle on AI support for low-code AI creation.</x:v>
      </x:c>
      <x:c r="H40" s="14" t="str">
        <x:v>https://dl.acm.org/doi/10.1145/3640543.3645203</x:v>
      </x:c>
      <x:c r="I40" s="14" t="str">
        <x:v>https://www.jsntsay.com/publications/rao-iui24.pdf</x:v>
      </x:c>
      <x:c r="J40" s="14" t="str">
        <x:v>Direct author PDF</x:v>
      </x:c>
      <x:c r="K40" s="14" t="str">
        <x:v>New expansion paper</x:v>
      </x:c>
      <x:c r="L40" s="14" t="str">
        <x:v>Peer-reviewed ACM IUI</x:v>
      </x:c>
    </x:row>
    <x:row r="41" ht="64" customHeight="1">
      <x:c r="A41" s="14" t="n">
        <x:v>40</x:v>
      </x:c>
      <x:c r="B41" s="14" t="n">
        <x:v>2025</x:v>
      </x:c>
      <x:c r="C41" s="14" t="str">
        <x:v>Beyond Text: Implementing Multimodal Large Language Model-Powered Multi-Agent Systems Using a No-Code Platform</x:v>
      </x:c>
      <x:c r="D41" s="14" t="str">
        <x:v>Cheonsu Jeong</x:v>
      </x:c>
      <x:c r="E41" s="14" t="str">
        <x:v>Journal of Intelligence and Information Systems</x:v>
      </x:c>
      <x:c r="F41" s="14" t="str">
        <x:v>No-code multimodal LLM agents</x:v>
      </x:c>
      <x:c r="G41" s="14" t="str">
        <x:v>Good enterprise AI/no-code multi-agent application study.</x:v>
      </x:c>
      <x:c r="H41" s="14" t="str">
        <x:v>https://arxiv.org/abs/2501.00750</x:v>
      </x:c>
      <x:c r="I41" s="14" t="str">
        <x:v>https://arxiv.org/pdf/2501.00750</x:v>
      </x:c>
      <x:c r="J41" s="14" t="str">
        <x:v>Direct arXiv PDF</x:v>
      </x:c>
      <x:c r="K41" s="14" t="str">
        <x:v>New expansion paper</x:v>
      </x:c>
      <x:c r="L41" s="14" t="str">
        <x:v>Journal article + arXiv copy</x:v>
      </x:c>
    </x:row>
    <x:row r="42" ht="64" customHeight="1">
      <x:c r="A42" s="14" t="n">
        <x:v>41</x:v>
      </x:c>
      <x:c r="B42" s="14" t="n">
        <x:v>2025</x:v>
      </x:c>
      <x:c r="C42" s="14" t="str">
        <x:v>Memory Management and Contextual Consistency for Long-Running Low-Code Agents</x:v>
      </x:c>
      <x:c r="D42" s="14" t="str">
        <x:v>Jiexi Xu</x:v>
      </x:c>
      <x:c r="E42" s="14" t="str">
        <x:v>arXiv</x:v>
      </x:c>
      <x:c r="F42" s="14" t="str">
        <x:v>Low-code AI agents reliability</x:v>
      </x:c>
      <x:c r="G42" s="14" t="str">
        <x:v>Good for emerging research direction on robust low-code autonomous agents.</x:v>
      </x:c>
      <x:c r="H42" s="14" t="str">
        <x:v>https://arxiv.org/abs/2509.25250</x:v>
      </x:c>
      <x:c r="I42" s="14" t="str">
        <x:v>https://arxiv.org/pdf/2509.25250</x:v>
      </x:c>
      <x:c r="J42" s="14" t="str">
        <x:v>Direct arXiv PDF</x:v>
      </x:c>
      <x:c r="K42" s="14" t="str">
        <x:v>New expansion paper</x:v>
      </x:c>
      <x:c r="L42" s="14" t="str">
        <x:v>Preprint</x:v>
      </x:c>
    </x:row>
    <x:row r="43" ht="64" customHeight="1">
      <x:c r="A43" s="14" t="n">
        <x:v>42</x:v>
      </x:c>
      <x:c r="B43" s="14" t="n">
        <x:v>2025</x:v>
      </x:c>
      <x:c r="C43" s="14" t="str">
        <x:v>Agentic Metacognition: Designing a Self-Aware Low-Code Agent for Failure Prediction and Human Handoff</x:v>
      </x:c>
      <x:c r="D43" s="14" t="str">
        <x:v>Jiexi Xu</x:v>
      </x:c>
      <x:c r="E43" s="14" t="str">
        <x:v>arXiv</x:v>
      </x:c>
      <x:c r="F43" s="14" t="str">
        <x:v>Low-code AI agents reliability</x:v>
      </x:c>
      <x:c r="G43" s="14" t="str">
        <x:v>Complements memory/reliability work with human-handoff and failure prediction.</x:v>
      </x:c>
      <x:c r="H43" s="14" t="str">
        <x:v>https://arxiv.org/abs/2509.19783</x:v>
      </x:c>
      <x:c r="I43" s="14" t="str">
        <x:v>https://arxiv.org/pdf/2509.19783</x:v>
      </x:c>
      <x:c r="J43" s="14" t="str">
        <x:v>Direct arXiv PDF</x:v>
      </x:c>
      <x:c r="K43" s="14" t="str">
        <x:v>New expansion paper</x:v>
      </x:c>
      <x:c r="L43" s="14" t="str">
        <x:v>Preprint</x:v>
      </x:c>
    </x:row>
    <x:row r="44" ht="64" customHeight="1">
      <x:c r="A44" s="14" t="n">
        <x:v>43</x:v>
      </x:c>
      <x:c r="B44" s="14" t="n">
        <x:v>2025</x:v>
      </x:c>
      <x:c r="C44" s="14" t="str">
        <x:v>Improving the Developer Experience with a Low-Code Process Modelling Language</x:v>
      </x:c>
      <x:c r="D44" s="14" t="str">
        <x:v>Henrique Henriques; Hugo Lourenço; Vasco Amaral; Miguel Goulão</x:v>
      </x:c>
      <x:c r="E44" s="14" t="str">
        <x:v>arXiv / ACM-related empirical evaluation</x:v>
      </x:c>
      <x:c r="F44" s="14" t="str">
        <x:v>Low-code developer experience/usability</x:v>
      </x:c>
      <x:c r="G44" s="14" t="str">
        <x:v>Strong empirical DX/usability paper for low-code platforms.</x:v>
      </x:c>
      <x:c r="H44" s="14" t="str">
        <x:v>https://arxiv.org/abs/2508.06299</x:v>
      </x:c>
      <x:c r="I44" s="14" t="str">
        <x:v>https://arxiv.org/pdf/2508.06299</x:v>
      </x:c>
      <x:c r="J44" s="14" t="str">
        <x:v>Direct arXiv PDF</x:v>
      </x:c>
      <x:c r="K44" s="14" t="str">
        <x:v>New expansion paper</x:v>
      </x:c>
      <x:c r="L44" s="14" t="str">
        <x:v>Empirical study/preprint</x:v>
      </x:c>
    </x:row>
    <x:row r="45" ht="64" customHeight="1">
      <x:c r="A45" s="14" t="n">
        <x:v>44</x:v>
      </x:c>
      <x:c r="B45" s="14" t="n">
        <x:v>2025</x:v>
      </x:c>
      <x:c r="C45" s="14" t="str">
        <x:v>Feasibility of AI-Assisted Programming for End-User Development</x:v>
      </x:c>
      <x:c r="D45" s="14" t="str">
        <x:v>Not captured in metadata pass</x:v>
      </x:c>
      <x:c r="E45" s="14" t="str">
        <x:v>arXiv</x:v>
      </x:c>
      <x:c r="F45" s="14" t="str">
        <x:v>End-user development / AI-assisted programming</x:v>
      </x:c>
      <x:c r="G45" s="14" t="str">
        <x:v>Useful for discussing whether AI-assisted programming functions as an LCNC/no-code alternative.</x:v>
      </x:c>
      <x:c r="H45" s="14" t="str">
        <x:v>https://arxiv.org/abs/2512.05666</x:v>
      </x:c>
      <x:c r="I45" s="14" t="str">
        <x:v>https://arxiv.org/pdf/2512.05666</x:v>
      </x:c>
      <x:c r="J45" s="14" t="str">
        <x:v>Direct arXiv PDF</x:v>
      </x:c>
      <x:c r="K45" s="14" t="str">
        <x:v>New expansion paper</x:v>
      </x:c>
      <x:c r="L45" s="14" t="str">
        <x:v>Preprint</x:v>
      </x:c>
    </x:row>
    <x:row r="46" ht="64" customHeight="1">
      <x:c r="A46" s="14" t="n">
        <x:v>45</x:v>
      </x:c>
      <x:c r="B46" s="14" t="n">
        <x:v>2025</x:v>
      </x:c>
      <x:c r="C46" s="14" t="str">
        <x:v>A Configuration-First Framework for Reproducible, Low-Code Localization</x:v>
      </x:c>
      <x:c r="D46" s="14" t="str">
        <x:v>Tim Strnad; Blaž Bertalanič; Carolina Fortuna</x:v>
      </x:c>
      <x:c r="E46" s="14" t="str">
        <x:v>arXiv</x:v>
      </x:c>
      <x:c r="F46" s="14" t="str">
        <x:v>Low-code reproducible ML workflows</x:v>
      </x:c>
      <x:c r="G46" s="14" t="str">
        <x:v>Shows LCNC applied to reproducible scientific/ML pipelines.</x:v>
      </x:c>
      <x:c r="H46" s="14" t="str">
        <x:v>https://arxiv.org/abs/2510.25692</x:v>
      </x:c>
      <x:c r="I46" s="14" t="str">
        <x:v>https://arxiv.org/pdf/2510.25692</x:v>
      </x:c>
      <x:c r="J46" s="14" t="str">
        <x:v>Direct arXiv PDF</x:v>
      </x:c>
      <x:c r="K46" s="14" t="str">
        <x:v>New expansion paper</x:v>
      </x:c>
      <x:c r="L46" s="14" t="str">
        <x:v>Preprint with empirical comparison</x:v>
      </x:c>
    </x:row>
    <x:row r="47" ht="64" customHeight="1">
      <x:c r="A47" s="14" t="n">
        <x:v>46</x:v>
      </x:c>
      <x:c r="B47" s="14" t="n">
        <x:v>2024</x:v>
      </x:c>
      <x:c r="C47" s="14" t="str">
        <x:v>Requirements Engineering for No-Code Development (RE4NCD): A Case Study of Smart Contract Development</x:v>
      </x:c>
      <x:c r="D47" s="14" t="str">
        <x:v>Not captured in metadata pass</x:v>
      </x:c>
      <x:c r="E47" s="14" t="str">
        <x:v>Springer / REFSQ 2024</x:v>
      </x:c>
      <x:c r="F47" s="14" t="str">
        <x:v>Requirements engineering for no-code</x:v>
      </x:c>
      <x:c r="G47" s="14" t="str">
        <x:v>Important requirements-engineering angle for no-code development.</x:v>
      </x:c>
      <x:c r="H47" s="14" t="str">
        <x:v>https://link.springer.com/chapter/10.1007/978-3-031-57327-9_20</x:v>
      </x:c>
      <x:c r="I47" s="14" t="str"/>
      <x:c r="J47" s="14" t="str">
        <x:v>Article page only</x:v>
      </x:c>
      <x:c r="K47" s="14" t="str">
        <x:v>New expansion paper</x:v>
      </x:c>
      <x:c r="L47" s="14" t="str">
        <x:v>Peer-reviewed Springer chapter</x:v>
      </x:c>
    </x:row>
    <x:row r="48" ht="64" customHeight="1">
      <x:c r="A48" s="14" t="n">
        <x:v>47</x:v>
      </x:c>
      <x:c r="B48" s="14" t="n">
        <x:v>2024</x:v>
      </x:c>
      <x:c r="C48" s="14" t="str">
        <x:v>Emerging New Roles for Low-Code Software Development</x:v>
      </x:c>
      <x:c r="D48" s="14" t="str">
        <x:v>Not captured in metadata pass</x:v>
      </x:c>
      <x:c r="E48" s="14" t="str">
        <x:v>ACM MODELS 2024</x:v>
      </x:c>
      <x:c r="F48" s="14" t="str">
        <x:v>Low-code roles / citizen development</x:v>
      </x:c>
      <x:c r="G48" s="14" t="str">
        <x:v>Good socio-technical/citizen-development paper for review background.</x:v>
      </x:c>
      <x:c r="H48" s="14" t="str">
        <x:v>https://dl.acm.org/doi/10.1145/3652620.3688337</x:v>
      </x:c>
      <x:c r="I48" s="14" t="str">
        <x:v>https://hal.science/hal-04742482v1/file/Lowcode_Models2024-MOTTU.pdf</x:v>
      </x:c>
      <x:c r="J48" s="14" t="str">
        <x:v>Direct HAL PDF</x:v>
      </x:c>
      <x:c r="K48" s="14" t="str">
        <x:v>New expansion paper</x:v>
      </x:c>
      <x:c r="L48" s="14" t="str">
        <x:v>Peer-reviewed ACM MODELS workshop/conference paper</x:v>
      </x:c>
    </x:row>
    <x:row r="49" ht="64" customHeight="1">
      <x:c r="A49" s="14" t="n">
        <x:v>48</x:v>
      </x:c>
      <x:c r="B49" s="14" t="n">
        <x:v>2024</x:v>
      </x:c>
      <x:c r="C49" s="14" t="str">
        <x:v>Feasibility of Low-Code Development Platforms in Precision Agriculture: Opportunities, Challenges, and Future Directions</x:v>
      </x:c>
      <x:c r="D49" s="14" t="str">
        <x:v>MDPI metadata not fully captured in this pass</x:v>
      </x:c>
      <x:c r="E49" s="14" t="str">
        <x:v>Land (MDPI)</x:v>
      </x:c>
      <x:c r="F49" s="14" t="str">
        <x:v>Low-code domain application / precision agriculture</x:v>
      </x:c>
      <x:c r="G49" s="14" t="str">
        <x:v>Useful sector-specific LCNC feasibility paper with direct open access.</x:v>
      </x:c>
      <x:c r="H49" s="14" t="str">
        <x:v>https://www.mdpi.com/2073-445X/13/11/1758</x:v>
      </x:c>
      <x:c r="I49" s="14" t="str">
        <x:v>https://www.mdpi.com/2073-445X/13/11/1758/pdf</x:v>
      </x:c>
      <x:c r="J49" s="14" t="str">
        <x:v>Direct MDPI PDF</x:v>
      </x:c>
      <x:c r="K49" s="14" t="str">
        <x:v>New expansion paper</x:v>
      </x:c>
      <x:c r="L49" s="14" t="str">
        <x:v>Peer-reviewed journal article</x:v>
      </x:c>
    </x:row>
    <x:row r="50" ht="64" customHeight="1">
      <x:c r="A50" s="14" t="n">
        <x:v>49</x:v>
      </x:c>
      <x:c r="B50" s="14" t="n">
        <x:v>2026</x:v>
      </x:c>
      <x:c r="C50" s="14" t="str">
        <x:v>Low-Code and No-Code Tools: A Valuable Aid or a Potential Threat to Professional Developers?</x:v>
      </x:c>
      <x:c r="D50" s="14" t="str">
        <x:v>Not captured in metadata pass</x:v>
      </x:c>
      <x:c r="E50" s="14" t="str">
        <x:v>Software: Practice and Experience (Wiley)</x:v>
      </x:c>
      <x:c r="F50" s="14" t="str">
        <x:v>Professional developers / systematic mapping</x:v>
      </x:c>
      <x:c r="G50" s="14" t="str">
        <x:v>Excellent for literature-review framing and professional-developer impact.</x:v>
      </x:c>
      <x:c r="H50" s="14" t="str">
        <x:v>https://onlinelibrary.wiley.com/doi/full/10.1002/spe.70067</x:v>
      </x:c>
      <x:c r="I50" s="14" t="str"/>
      <x:c r="J50" s="14" t="str">
        <x:v>Open article page</x:v>
      </x:c>
      <x:c r="K50" s="14" t="str">
        <x:v>New expansion paper</x:v>
      </x:c>
      <x:c r="L50" s="14" t="str">
        <x:v>Peer-reviewed journal article</x:v>
      </x:c>
    </x:row>
    <x:row r="51" ht="64" customHeight="1">
      <x:c r="A51" s="14" t="n">
        <x:v>50</x:v>
      </x:c>
      <x:c r="B51" s="14" t="n">
        <x:v>2026</x:v>
      </x:c>
      <x:c r="C51" s="14" t="str">
        <x:v>Explaining AI Without Code: A User Study on Explainable AI</x:v>
      </x:c>
      <x:c r="D51" s="14" t="str">
        <x:v>Not captured in metadata pass</x:v>
      </x:c>
      <x:c r="E51" s="14" t="str">
        <x:v>arXiv</x:v>
      </x:c>
      <x:c r="F51" s="14" t="str">
        <x:v>No-code XAI / user study</x:v>
      </x:c>
      <x:c r="G51" s="14" t="str">
        <x:v>Good empirical perspective on AI democratization and no-code explainability.</x:v>
      </x:c>
      <x:c r="H51" s="14" t="str">
        <x:v>https://arxiv.org/abs/2602.11159</x:v>
      </x:c>
      <x:c r="I51" s="14" t="str">
        <x:v>https://arxiv.org/pdf/2602.11159</x:v>
      </x:c>
      <x:c r="J51" s="14" t="str">
        <x:v>Direct arXiv PDF</x:v>
      </x:c>
      <x:c r="K51" s="14" t="str">
        <x:v>New expansion paper</x:v>
      </x:c>
      <x:c r="L51" s="14" t="str">
        <x:v>Preprint/user study</x:v>
      </x:c>
    </x:row>
    <x:row r="52" ht="64" customHeight="1"/>
    <x:row r="53" ht="64" customHeight="1"/>
    <x:row r="54" ht="64" customHeight="1"/>
    <x:row r="55" ht="64" customHeight="1"/>
    <x:row r="56" ht="64" customHeight="1"/>
    <x:row r="57" ht="64" customHeight="1"/>
    <x:row r="58" ht="64" customHeight="1"/>
    <x:row r="59" ht="64" customHeight="1"/>
    <x:row r="60" ht="64" customHeight="1"/>
    <x:row r="61" ht="64" customHeight="1"/>
    <x:row r="62" ht="64" customHeight="1"/>
    <x:row r="63" ht="64" customHeight="1"/>
    <x:row r="64" ht="64" customHeight="1"/>
    <x:row r="65" ht="64" customHeight="1"/>
    <x:row r="66" ht="64" customHeight="1"/>
    <x:row r="67" ht="64" customHeight="1"/>
    <x:row r="68" ht="64" customHeight="1"/>
    <x:row r="69" ht="64" customHeight="1"/>
    <x:row r="70" ht="64" customHeight="1"/>
    <x:row r="71" ht="64" customHeight="1"/>
    <x:row r="72" ht="64" customHeight="1"/>
    <x:row r="73" ht="64" customHeight="1"/>
    <x:row r="74" ht="64" customHeight="1"/>
    <x:row r="75" ht="64" customHeight="1"/>
    <x:row r="76" ht="64" customHeight="1"/>
    <x:row r="77" ht="64" customHeight="1"/>
    <x:row r="78" ht="64" customHeight="1"/>
    <x:row r="79" ht="64" customHeight="1"/>
    <x:row r="80" ht="64" customHeight="1"/>
    <x:row r="81" ht="64" customHeight="1"/>
    <x:row r="82" ht="64" customHeight="1"/>
    <x:row r="83" ht="64" customHeight="1"/>
    <x:row r="84" ht="64" customHeight="1"/>
    <x:row r="85" ht="64" customHeight="1"/>
    <x:row r="86" ht="64" customHeight="1"/>
    <x:row r="87" ht="64" customHeight="1"/>
    <x:row r="88" ht="64" customHeight="1"/>
    <x:row r="89" ht="64" customHeight="1"/>
    <x:row r="90" ht="64" customHeight="1"/>
    <x:row r="91" ht="64" customHeight="1"/>
    <x:row r="92" ht="64" customHeight="1"/>
    <x:row r="93" ht="64" customHeight="1"/>
    <x:row r="94" ht="64" customHeight="1"/>
    <x:row r="95" ht="64" customHeight="1"/>
    <x:row r="96" ht="64" customHeight="1"/>
    <x:row r="97" ht="64" customHeight="1"/>
    <x:row r="98" ht="64" customHeight="1"/>
    <x:row r="99" ht="64" customHeight="1"/>
    <x:row r="100" ht="64" customHeight="1"/>
    <x:row r="101" ht="64" customHeight="1"/>
    <x:row r="102" ht="64" customHeight="1"/>
    <x:row r="103" ht="64" customHeight="1"/>
    <x:row r="104" ht="64" customHeight="1"/>
    <x:row r="105" ht="64" customHeight="1"/>
    <x:row r="106" ht="64" customHeight="1"/>
    <x:row r="107" ht="64" customHeight="1"/>
    <x:row r="108" ht="64" customHeight="1"/>
    <x:row r="109" ht="64" customHeight="1"/>
    <x:row r="110" ht="64" customHeight="1"/>
    <x:row r="111" ht="64" customHeight="1"/>
    <x:row r="112" ht="64" customHeight="1"/>
    <x:row r="113" ht="64" customHeight="1"/>
    <x:row r="114" ht="64" customHeight="1"/>
    <x:row r="115" ht="64" customHeight="1"/>
    <x:row r="116" ht="64" customHeight="1"/>
    <x:row r="117" ht="64" customHeight="1"/>
    <x:row r="118" ht="64" customHeight="1"/>
    <x:row r="119" ht="64" customHeight="1"/>
    <x:row r="120" ht="64" customHeight="1"/>
    <x:row r="121" ht="64" customHeight="1"/>
    <x:row r="122" ht="64" customHeight="1"/>
    <x:row r="123" ht="64" customHeight="1"/>
    <x:row r="124" ht="64" customHeight="1"/>
    <x:row r="125" ht="64" customHeight="1"/>
    <x:row r="126" ht="64" customHeight="1"/>
    <x:row r="127" ht="64" customHeight="1"/>
    <x:row r="128" ht="64" customHeight="1"/>
    <x:row r="129" ht="64" customHeight="1"/>
    <x:row r="130" ht="64" customHeight="1"/>
    <x:row r="131" ht="64" customHeight="1"/>
    <x:row r="132" ht="64" customHeight="1"/>
    <x:row r="133" ht="64" customHeight="1"/>
    <x:row r="134" ht="64" customHeight="1"/>
    <x:row r="135" ht="64" customHeight="1"/>
    <x:row r="136" ht="64" customHeight="1"/>
    <x:row r="137" ht="64" customHeight="1"/>
    <x:row r="138" ht="64" customHeight="1"/>
    <x:row r="139" ht="64" customHeight="1"/>
    <x:row r="140" ht="64" customHeight="1"/>
    <x:row r="141" ht="64" customHeight="1"/>
    <x:row r="142" ht="64" customHeight="1"/>
    <x:row r="143" ht="64" customHeight="1"/>
    <x:row r="144" ht="64" customHeight="1"/>
    <x:row r="145" ht="64" customHeight="1"/>
    <x:row r="146" ht="64" customHeight="1"/>
    <x:row r="147" ht="64" customHeight="1"/>
    <x:row r="148" ht="64" customHeight="1"/>
    <x:row r="149" ht="64" customHeight="1"/>
    <x:row r="150" ht="64" customHeight="1"/>
    <x:row r="151" ht="64" customHeight="1"/>
    <x:row r="152" ht="64" customHeight="1"/>
    <x:row r="153" ht="64" customHeight="1"/>
    <x:row r="154" ht="64" customHeight="1"/>
    <x:row r="155" ht="64" customHeight="1"/>
    <x:row r="156" ht="64" customHeight="1"/>
    <x:row r="157" ht="64" customHeight="1"/>
    <x:row r="158" ht="64" customHeight="1"/>
    <x:row r="159" ht="64" customHeight="1"/>
    <x:row r="160" ht="64" customHeight="1"/>
    <x:row r="161" ht="64" customHeight="1"/>
    <x:row r="162" ht="64" customHeight="1"/>
    <x:row r="163" ht="64" customHeight="1"/>
    <x:row r="164" ht="64" customHeight="1"/>
    <x:row r="165" ht="64" customHeight="1"/>
    <x:row r="166" ht="64" customHeight="1"/>
    <x:row r="167" ht="64" customHeight="1"/>
    <x:row r="168" ht="64" customHeight="1"/>
    <x:row r="169" ht="64" customHeight="1"/>
    <x:row r="170" ht="64" customHeight="1"/>
    <x:row r="171" ht="64" customHeight="1"/>
    <x:row r="172" ht="64" customHeight="1"/>
    <x:row r="173" ht="64" customHeight="1"/>
    <x:row r="174" ht="64" customHeight="1"/>
    <x:row r="175" ht="64" customHeight="1"/>
    <x:row r="176" ht="64" customHeight="1"/>
    <x:row r="177" ht="64" customHeight="1"/>
    <x:row r="178" ht="64" customHeight="1"/>
    <x:row r="179" ht="64" customHeight="1"/>
    <x:row r="180" ht="64" customHeight="1"/>
    <x:row r="181" ht="64" customHeight="1"/>
    <x:row r="182" ht="64" customHeight="1"/>
    <x:row r="183" ht="64" customHeight="1"/>
    <x:row r="184" ht="64" customHeight="1"/>
    <x:row r="185" ht="64" customHeight="1"/>
    <x:row r="186" ht="64" customHeight="1"/>
    <x:row r="187" ht="64" customHeight="1"/>
    <x:row r="188" ht="64" customHeight="1"/>
    <x:row r="189" ht="64" customHeight="1"/>
    <x:row r="190" ht="64" customHeight="1"/>
    <x:row r="191" ht="64" customHeight="1"/>
    <x:row r="192" ht="64" customHeight="1"/>
    <x:row r="193" ht="64" customHeight="1"/>
    <x:row r="194" ht="64" customHeight="1"/>
    <x:row r="195" ht="64" customHeight="1"/>
    <x:row r="196" ht="64" customHeight="1"/>
    <x:row r="197" ht="64" customHeight="1"/>
    <x:row r="198" ht="64" customHeight="1"/>
    <x:row r="199" ht="64" customHeight="1"/>
    <x:row r="200" ht="64" customHeight="1"/>
  </x:sheetData>
  <x:conditionalFormatting sqref="I2:I51">
    <x:cfRule type="expression" dxfId="4" priority="1">
      <x:formula>LEN($I2)&gt;0</x:formula>
    </x:cfRule>
  </x:conditionalFormatting>
  <x:pageMargins left="0.7" right="0.7" top="0.75" bottom="0.75" header="0.3" footer="0.3"/>
  <x:tableParts count="1">
    <x:tablePart xmlns:r="http://schemas.openxmlformats.org/officeDocument/2006/relationships" r:id="R1993996774764852"/>
  </x:tableParts>
</x:worksheet>
</file>

<file path=xl/worksheets/sheet6.xml><?xml version="1.0" encoding="utf-8"?>
<x:worksheet xmlns:x="http://schemas.openxmlformats.org/spreadsheetml/2006/main">
  <x:sheetFormatPr defaultRowHeight="15"/>
  <x:cols>
    <x:col min="1" max="1" width="34" hidden="0" customWidth="1"/>
    <x:col min="2" max="2" width="18" hidden="0" customWidth="1"/>
    <x:col min="3" max="3" width="20" hidden="0" customWidth="1"/>
    <x:col min="4" max="4" width="20" hidden="0" customWidth="1"/>
  </x:cols>
  <x:sheetData>
    <x:row r="1" ht="30" customHeight="1">
      <x:c r="A1" s="6" t="str">
        <x:v>Theme</x:v>
      </x:c>
      <x:c r="B1" s="6" t="str">
        <x:v>Final_Top_50_Count</x:v>
      </x:c>
      <x:c r="C1" s="6" t="str">
        <x:v>Added_New_Papers_Count</x:v>
      </x:c>
      <x:c r="D1" s="6" t="str">
        <x:v>Expanded_Corpus_Count</x:v>
      </x:c>
    </x:row>
    <x:row r="2">
      <x:c r="A2" s="14" t="str">
        <x:v>AI support for low-code AI development</x:v>
      </x:c>
      <x:c r="B2" s="14" t="n">
        <x:f>COUNTIF(Final_Top_50!F:F,A2)</x:f>
        <x:v>1</x:v>
      </x:c>
      <x:c r="C2" s="14" t="n">
        <x:f>COUNTIF(Added_45_New_Papers!F:F,A2)</x:f>
        <x:v>1</x:v>
      </x:c>
      <x:c r="D2" s="14" t="n">
        <x:f>COUNTIF(Expanded_Corpus_170!H:H,A2)</x:f>
        <x:v>1</x:v>
      </x:c>
    </x:row>
    <x:row r="3">
      <x:c r="A3" s="14" t="str">
        <x:v>AI-era LCNC SLR</x:v>
      </x:c>
      <x:c r="B3" s="14" t="n">
        <x:f>COUNTIF(Final_Top_50!F:F,A3)</x:f>
        <x:v>1</x:v>
      </x:c>
      <x:c r="C3" s="14" t="n">
        <x:f>COUNTIF(Added_45_New_Papers!F:F,A3)</x:f>
        <x:v>0</x:v>
      </x:c>
      <x:c r="D3" s="14" t="n">
        <x:f>COUNTIF(Expanded_Corpus_170!H:H,A3)</x:f>
        <x:v>1</x:v>
      </x:c>
    </x:row>
    <x:row r="4">
      <x:c r="A4" s="14" t="str">
        <x:v>AI/LLM + science platform</x:v>
      </x:c>
      <x:c r="B4" s="14" t="n">
        <x:f>COUNTIF(Final_Top_50!F:F,A4)</x:f>
        <x:v>1</x:v>
      </x:c>
      <x:c r="C4" s="14" t="n">
        <x:f>COUNTIF(Added_45_New_Papers!F:F,A4)</x:f>
        <x:v>0</x:v>
      </x:c>
      <x:c r="D4" s="14" t="n">
        <x:f>COUNTIF(Expanded_Corpus_170!H:H,A4)</x:f>
        <x:v>1</x:v>
      </x:c>
    </x:row>
    <x:row r="5">
      <x:c r="A5" s="14" t="str">
        <x:v>Adoption barriers / empirical</x:v>
      </x:c>
      <x:c r="B5" s="14" t="n">
        <x:f>COUNTIF(Final_Top_50!F:F,A5)</x:f>
        <x:v>1</x:v>
      </x:c>
      <x:c r="C5" s="14" t="n">
        <x:f>COUNTIF(Added_45_New_Papers!F:F,A5)</x:f>
        <x:v>0</x:v>
      </x:c>
      <x:c r="D5" s="14" t="n">
        <x:f>COUNTIF(Expanded_Corpus_170!H:H,A5)</x:f>
        <x:v>2</x:v>
      </x:c>
    </x:row>
    <x:row r="6">
      <x:c r="A6" s="14" t="str">
        <x:v>Adoption patterns</x:v>
      </x:c>
      <x:c r="B6" s="14" t="n">
        <x:f>COUNTIF(Final_Top_50!F:F,A6)</x:f>
        <x:v>1</x:v>
      </x:c>
      <x:c r="C6" s="14" t="n">
        <x:f>COUNTIF(Added_45_New_Papers!F:F,A6)</x:f>
        <x:v>0</x:v>
      </x:c>
      <x:c r="D6" s="14" t="n">
        <x:f>COUNTIF(Expanded_Corpus_170!H:H,A6)</x:f>
        <x:v>1</x:v>
      </x:c>
    </x:row>
    <x:row r="7">
      <x:c r="A7" s="14" t="str">
        <x:v>Benchmark / evaluation</x:v>
      </x:c>
      <x:c r="B7" s="14" t="n">
        <x:f>COUNTIF(Final_Top_50!F:F,A7)</x:f>
        <x:v>1</x:v>
      </x:c>
      <x:c r="C7" s="14" t="n">
        <x:f>COUNTIF(Added_45_New_Papers!F:F,A7)</x:f>
        <x:v>0</x:v>
      </x:c>
      <x:c r="D7" s="14" t="n">
        <x:f>COUNTIF(Expanded_Corpus_170!H:H,A7)</x:f>
        <x:v>1</x:v>
      </x:c>
    </x:row>
    <x:row r="8">
      <x:c r="A8" s="14" t="str">
        <x:v>Bugs / reliability</x:v>
      </x:c>
      <x:c r="B8" s="14" t="n">
        <x:f>COUNTIF(Final_Top_50!F:F,A8)</x:f>
        <x:v>1</x:v>
      </x:c>
      <x:c r="C8" s="14" t="n">
        <x:f>COUNTIF(Added_45_New_Papers!F:F,A8)</x:f>
        <x:v>0</x:v>
      </x:c>
      <x:c r="D8" s="14" t="n">
        <x:f>COUNTIF(Expanded_Corpus_170!H:H,A8)</x:f>
        <x:v>1</x:v>
      </x:c>
    </x:row>
    <x:row r="9">
      <x:c r="A9" s="14" t="str">
        <x:v>Case study / public sector</x:v>
      </x:c>
      <x:c r="B9" s="14" t="n">
        <x:f>COUNTIF(Final_Top_50!F:F,A9)</x:f>
        <x:v>1</x:v>
      </x:c>
      <x:c r="C9" s="14" t="n">
        <x:f>COUNTIF(Added_45_New_Papers!F:F,A9)</x:f>
        <x:v>0</x:v>
      </x:c>
      <x:c r="D9" s="14" t="n">
        <x:f>COUNTIF(Expanded_Corpus_170!H:H,A9)</x:f>
        <x:v>1</x:v>
      </x:c>
    </x:row>
    <x:row r="10">
      <x:c r="A10" s="14" t="str">
        <x:v>ChatGPT + no-code</x:v>
      </x:c>
      <x:c r="B10" s="14" t="n">
        <x:f>COUNTIF(Final_Top_50!F:F,A10)</x:f>
        <x:v>1</x:v>
      </x:c>
      <x:c r="C10" s="14" t="n">
        <x:f>COUNTIF(Added_45_New_Papers!F:F,A10)</x:f>
        <x:v>0</x:v>
      </x:c>
      <x:c r="D10" s="14" t="n">
        <x:f>COUNTIF(Expanded_Corpus_170!H:H,A10)</x:f>
        <x:v>1</x:v>
      </x:c>
    </x:row>
    <x:row r="11">
      <x:c r="A11" s="14" t="str">
        <x:v>Citizen development / business-IT</x:v>
      </x:c>
      <x:c r="B11" s="14" t="n">
        <x:f>COUNTIF(Final_Top_50!F:F,A11)</x:f>
        <x:v>1</x:v>
      </x:c>
      <x:c r="C11" s="14" t="n">
        <x:f>COUNTIF(Added_45_New_Papers!F:F,A11)</x:f>
        <x:v>0</x:v>
      </x:c>
      <x:c r="D11" s="14" t="n">
        <x:f>COUNTIF(Expanded_Corpus_170!H:H,A11)</x:f>
        <x:v>1</x:v>
      </x:c>
    </x:row>
    <x:row r="12">
      <x:c r="A12" s="14" t="str">
        <x:v>Comprehensive literature review</x:v>
      </x:c>
      <x:c r="B12" s="14" t="n">
        <x:f>COUNTIF(Final_Top_50!F:F,A12)</x:f>
        <x:v>1</x:v>
      </x:c>
      <x:c r="C12" s="14" t="n">
        <x:f>COUNTIF(Added_45_New_Papers!F:F,A12)</x:f>
        <x:v>0</x:v>
      </x:c>
      <x:c r="D12" s="14" t="n">
        <x:f>COUNTIF(Expanded_Corpus_170!H:H,A12)</x:f>
        <x:v>1</x:v>
      </x:c>
    </x:row>
    <x:row r="13">
      <x:c r="A13" s="14" t="str">
        <x:v>DevOps / MLR</x:v>
      </x:c>
      <x:c r="B13" s="14" t="n">
        <x:f>COUNTIF(Final_Top_50!F:F,A13)</x:f>
        <x:v>1</x:v>
      </x:c>
      <x:c r="C13" s="14" t="n">
        <x:f>COUNTIF(Added_45_New_Papers!F:F,A13)</x:f>
        <x:v>0</x:v>
      </x:c>
      <x:c r="D13" s="14" t="n">
        <x:f>COUNTIF(Expanded_Corpus_170!H:H,A13)</x:f>
        <x:v>1</x:v>
      </x:c>
    </x:row>
    <x:row r="14">
      <x:c r="A14" s="14" t="str">
        <x:v>Developer experience</x:v>
      </x:c>
      <x:c r="B14" s="14" t="n">
        <x:f>COUNTIF(Final_Top_50!F:F,A14)</x:f>
        <x:v>1</x:v>
      </x:c>
      <x:c r="C14" s="14" t="n">
        <x:f>COUNTIF(Added_45_New_Papers!F:F,A14)</x:f>
        <x:v>0</x:v>
      </x:c>
      <x:c r="D14" s="14" t="n">
        <x:f>COUNTIF(Expanded_Corpus_170!H:H,A14)</x:f>
        <x:v>2</x:v>
      </x:c>
    </x:row>
    <x:row r="15">
      <x:c r="A15" s="14" t="str">
        <x:v>Empirical LCP + LLM</x:v>
      </x:c>
      <x:c r="B15" s="14" t="n">
        <x:f>COUNTIF(Final_Top_50!F:F,A15)</x:f>
        <x:v>1</x:v>
      </x:c>
      <x:c r="C15" s="14" t="n">
        <x:f>COUNTIF(Added_45_New_Papers!F:F,A15)</x:f>
        <x:v>0</x:v>
      </x:c>
      <x:c r="D15" s="14" t="n">
        <x:f>COUNTIF(Expanded_Corpus_170!H:H,A15)</x:f>
        <x:v>1</x:v>
      </x:c>
    </x:row>
    <x:row r="16">
      <x:c r="A16" s="14" t="str">
        <x:v>End-user DX measurement</x:v>
      </x:c>
      <x:c r="B16" s="14" t="n">
        <x:f>COUNTIF(Final_Top_50!F:F,A16)</x:f>
        <x:v>1</x:v>
      </x:c>
      <x:c r="C16" s="14" t="n">
        <x:f>COUNTIF(Added_45_New_Papers!F:F,A16)</x:f>
        <x:v>0</x:v>
      </x:c>
      <x:c r="D16" s="14" t="n">
        <x:f>COUNTIF(Expanded_Corpus_170!H:H,A16)</x:f>
        <x:v>1</x:v>
      </x:c>
    </x:row>
    <x:row r="17">
      <x:c r="A17" s="14" t="str">
        <x:v>End-user development / AI-assisted programming</x:v>
      </x:c>
      <x:c r="B17" s="14" t="n">
        <x:f>COUNTIF(Final_Top_50!F:F,A17)</x:f>
        <x:v>1</x:v>
      </x:c>
      <x:c r="C17" s="14" t="n">
        <x:f>COUNTIF(Added_45_New_Papers!F:F,A17)</x:f>
        <x:v>1</x:v>
      </x:c>
      <x:c r="D17" s="14" t="n">
        <x:f>COUNTIF(Expanded_Corpus_170!H:H,A17)</x:f>
        <x:v>1</x:v>
      </x:c>
    </x:row>
    <x:row r="18">
      <x:c r="A18" s="14" t="str">
        <x:v>Generative no-code SLR</x:v>
      </x:c>
      <x:c r="B18" s="14" t="n">
        <x:f>COUNTIF(Final_Top_50!F:F,A18)</x:f>
        <x:v>1</x:v>
      </x:c>
      <x:c r="C18" s="14" t="n">
        <x:f>COUNTIF(Added_45_New_Papers!F:F,A18)</x:f>
        <x:v>0</x:v>
      </x:c>
      <x:c r="D18" s="14" t="n">
        <x:f>COUNTIF(Expanded_Corpus_170!H:H,A18)</x:f>
        <x:v>1</x:v>
      </x:c>
    </x:row>
    <x:row r="19">
      <x:c r="A19" s="14" t="str">
        <x:v>Governance / standardisation</x:v>
      </x:c>
      <x:c r="B19" s="14" t="n">
        <x:f>COUNTIF(Final_Top_50!F:F,A19)</x:f>
        <x:v>1</x:v>
      </x:c>
      <x:c r="C19" s="14" t="n">
        <x:f>COUNTIF(Added_45_New_Papers!F:F,A19)</x:f>
        <x:v>0</x:v>
      </x:c>
      <x:c r="D19" s="14" t="n">
        <x:f>COUNTIF(Expanded_Corpus_170!H:H,A19)</x:f>
        <x:v>1</x:v>
      </x:c>
    </x:row>
    <x:row r="20">
      <x:c r="A20" s="14" t="str">
        <x:v>LCNC ML platforms</x:v>
      </x:c>
      <x:c r="B20" s="14" t="n">
        <x:f>COUNTIF(Final_Top_50!F:F,A20)</x:f>
        <x:v>1</x:v>
      </x:c>
      <x:c r="C20" s="14" t="n">
        <x:f>COUNTIF(Added_45_New_Papers!F:F,A20)</x:f>
        <x:v>0</x:v>
      </x:c>
      <x:c r="D20" s="14" t="n">
        <x:f>COUNTIF(Expanded_Corpus_170!H:H,A20)</x:f>
        <x:v>1</x:v>
      </x:c>
    </x:row>
    <x:row r="21">
      <x:c r="A21" s="14" t="str">
        <x:v>LLM suitability / IoT no-code</x:v>
      </x:c>
      <x:c r="B21" s="14" t="n">
        <x:f>COUNTIF(Final_Top_50!F:F,A21)</x:f>
        <x:v>1</x:v>
      </x:c>
      <x:c r="C21" s="14" t="n">
        <x:f>COUNTIF(Added_45_New_Papers!F:F,A21)</x:f>
        <x:v>0</x:v>
      </x:c>
      <x:c r="D21" s="14" t="n">
        <x:f>COUNTIF(Expanded_Corpus_170!H:H,A21)</x:f>
        <x:v>1</x:v>
      </x:c>
    </x:row>
    <x:row r="22">
      <x:c r="A22" s="14" t="str">
        <x:v>LLM-enhanced no-code</x:v>
      </x:c>
      <x:c r="B22" s="14" t="n">
        <x:f>COUNTIF(Final_Top_50!F:F,A22)</x:f>
        <x:v>1</x:v>
      </x:c>
      <x:c r="C22" s="14" t="n">
        <x:f>COUNTIF(Added_45_New_Papers!F:F,A22)</x:f>
        <x:v>0</x:v>
      </x:c>
      <x:c r="D22" s="14" t="n">
        <x:f>COUNTIF(Expanded_Corpus_170!H:H,A22)</x:f>
        <x:v>1</x:v>
      </x:c>
    </x:row>
    <x:row r="23">
      <x:c r="A23" s="14" t="str">
        <x:v>LLM-supported low-code engineering</x:v>
      </x:c>
      <x:c r="B23" s="14" t="n">
        <x:f>COUNTIF(Final_Top_50!F:F,A23)</x:f>
        <x:v>1</x:v>
      </x:c>
      <x:c r="C23" s="14" t="n">
        <x:f>COUNTIF(Added_45_New_Papers!F:F,A23)</x:f>
        <x:v>1</x:v>
      </x:c>
      <x:c r="D23" s="14" t="n">
        <x:f>COUNTIF(Expanded_Corpus_170!H:H,A23)</x:f>
        <x:v>1</x:v>
      </x:c>
    </x:row>
    <x:row r="24">
      <x:c r="A24" s="14" t="str">
        <x:v>Low-code AI agents reliability</x:v>
      </x:c>
      <x:c r="B24" s="14" t="n">
        <x:f>COUNTIF(Final_Top_50!F:F,A24)</x:f>
        <x:v>2</x:v>
      </x:c>
      <x:c r="C24" s="14" t="n">
        <x:f>COUNTIF(Added_45_New_Papers!F:F,A24)</x:f>
        <x:v>2</x:v>
      </x:c>
      <x:c r="D24" s="14" t="n">
        <x:f>COUNTIF(Expanded_Corpus_170!H:H,A24)</x:f>
        <x:v>2</x:v>
      </x:c>
    </x:row>
    <x:row r="25">
      <x:c r="A25" s="14" t="str">
        <x:v>Low-code AI applications in industry</x:v>
      </x:c>
      <x:c r="B25" s="14" t="n">
        <x:f>COUNTIF(Final_Top_50!F:F,A25)</x:f>
        <x:v>1</x:v>
      </x:c>
      <x:c r="C25" s="14" t="n">
        <x:f>COUNTIF(Added_45_New_Papers!F:F,A25)</x:f>
        <x:v>1</x:v>
      </x:c>
      <x:c r="D25" s="14" t="n">
        <x:f>COUNTIF(Expanded_Corpus_170!H:H,A25)</x:f>
        <x:v>1</x:v>
      </x:c>
    </x:row>
    <x:row r="26">
      <x:c r="A26" s="14" t="str">
        <x:v>Low-code developer experience/usability</x:v>
      </x:c>
      <x:c r="B26" s="14" t="n">
        <x:f>COUNTIF(Final_Top_50!F:F,A26)</x:f>
        <x:v>1</x:v>
      </x:c>
      <x:c r="C26" s="14" t="n">
        <x:f>COUNTIF(Added_45_New_Papers!F:F,A26)</x:f>
        <x:v>1</x:v>
      </x:c>
      <x:c r="D26" s="14" t="n">
        <x:f>COUNTIF(Expanded_Corpus_170!H:H,A26)</x:f>
        <x:v>1</x:v>
      </x:c>
    </x:row>
    <x:row r="27">
      <x:c r="A27" s="14" t="str">
        <x:v>Low-code domain application / precision agriculture</x:v>
      </x:c>
      <x:c r="B27" s="14" t="n">
        <x:f>COUNTIF(Final_Top_50!F:F,A27)</x:f>
        <x:v>1</x:v>
      </x:c>
      <x:c r="C27" s="14" t="n">
        <x:f>COUNTIF(Added_45_New_Papers!F:F,A27)</x:f>
        <x:v>1</x:v>
      </x:c>
      <x:c r="D27" s="14" t="n">
        <x:f>COUNTIF(Expanded_Corpus_170!H:H,A27)</x:f>
        <x:v>1</x:v>
      </x:c>
    </x:row>
    <x:row r="28">
      <x:c r="A28" s="14" t="str">
        <x:v>Low-code platform interoperability</x:v>
      </x:c>
      <x:c r="B28" s="14" t="n">
        <x:f>COUNTIF(Final_Top_50!F:F,A28)</x:f>
        <x:v>1</x:v>
      </x:c>
      <x:c r="C28" s="14" t="n">
        <x:f>COUNTIF(Added_45_New_Papers!F:F,A28)</x:f>
        <x:v>1</x:v>
      </x:c>
      <x:c r="D28" s="14" t="n">
        <x:f>COUNTIF(Expanded_Corpus_170!H:H,A28)</x:f>
        <x:v>1</x:v>
      </x:c>
    </x:row>
    <x:row r="29">
      <x:c r="A29" s="14" t="str">
        <x:v>Low-code prompt control</x:v>
      </x:c>
      <x:c r="B29" s="14" t="n">
        <x:f>COUNTIF(Final_Top_50!F:F,A29)</x:f>
        <x:v>1</x:v>
      </x:c>
      <x:c r="C29" s="14" t="n">
        <x:f>COUNTIF(Added_45_New_Papers!F:F,A29)</x:f>
        <x:v>0</x:v>
      </x:c>
      <x:c r="D29" s="14" t="n">
        <x:f>COUNTIF(Expanded_Corpus_170!H:H,A29)</x:f>
        <x:v>1</x:v>
      </x:c>
    </x:row>
    <x:row r="30">
      <x:c r="A30" s="14" t="str">
        <x:v>Low-code reproducible ML workflows</x:v>
      </x:c>
      <x:c r="B30" s="14" t="n">
        <x:f>COUNTIF(Final_Top_50!F:F,A30)</x:f>
        <x:v>1</x:v>
      </x:c>
      <x:c r="C30" s="14" t="n">
        <x:f>COUNTIF(Added_45_New_Papers!F:F,A30)</x:f>
        <x:v>1</x:v>
      </x:c>
      <x:c r="D30" s="14" t="n">
        <x:f>COUNTIF(Expanded_Corpus_170!H:H,A30)</x:f>
        <x:v>1</x:v>
      </x:c>
    </x:row>
    <x:row r="31">
      <x:c r="A31" s="14" t="str">
        <x:v>Low-code roles / citizen development</x:v>
      </x:c>
      <x:c r="B31" s="14" t="n">
        <x:f>COUNTIF(Final_Top_50!F:F,A31)</x:f>
        <x:v>1</x:v>
      </x:c>
      <x:c r="C31" s="14" t="n">
        <x:f>COUNTIF(Added_45_New_Papers!F:F,A31)</x:f>
        <x:v>1</x:v>
      </x:c>
      <x:c r="D31" s="14" t="n">
        <x:f>COUNTIF(Expanded_Corpus_170!H:H,A31)</x:f>
        <x:v>1</x:v>
      </x:c>
    </x:row>
    <x:row r="32">
      <x:c r="A32" s="14" t="str">
        <x:v>Low-code workflow generation</x:v>
      </x:c>
      <x:c r="B32" s="14" t="n">
        <x:f>COUNTIF(Final_Top_50!F:F,A32)</x:f>
        <x:v>1</x:v>
      </x:c>
      <x:c r="C32" s="14" t="n">
        <x:f>COUNTIF(Added_45_New_Papers!F:F,A32)</x:f>
        <x:v>0</x:v>
      </x:c>
      <x:c r="D32" s="14" t="n">
        <x:f>COUNTIF(Expanded_Corpus_170!H:H,A32)</x:f>
        <x:v>1</x:v>
      </x:c>
    </x:row>
    <x:row r="33">
      <x:c r="A33" s="14" t="str">
        <x:v>Model-based LC + LLM consistency</x:v>
      </x:c>
      <x:c r="B33" s="14" t="n">
        <x:f>COUNTIF(Final_Top_50!F:F,A33)</x:f>
        <x:v>1</x:v>
      </x:c>
      <x:c r="C33" s="14" t="n">
        <x:f>COUNTIF(Added_45_New_Papers!F:F,A33)</x:f>
        <x:v>0</x:v>
      </x:c>
      <x:c r="D33" s="14" t="n">
        <x:f>COUNTIF(Expanded_Corpus_170!H:H,A33)</x:f>
        <x:v>1</x:v>
      </x:c>
    </x:row>
    <x:row r="34">
      <x:c r="A34" s="14" t="str">
        <x:v>No-code AI workflow builders</x:v>
      </x:c>
      <x:c r="B34" s="14" t="n">
        <x:f>COUNTIF(Final_Top_50!F:F,A34)</x:f>
        <x:v>1</x:v>
      </x:c>
      <x:c r="C34" s="14" t="n">
        <x:f>COUNTIF(Added_45_New_Papers!F:F,A34)</x:f>
        <x:v>1</x:v>
      </x:c>
      <x:c r="D34" s="14" t="n">
        <x:f>COUNTIF(Expanded_Corpus_170!H:H,A34)</x:f>
        <x:v>1</x:v>
      </x:c>
    </x:row>
    <x:row r="35">
      <x:c r="A35" s="14" t="str">
        <x:v>No-code LLM/FaaS</x:v>
      </x:c>
      <x:c r="B35" s="14" t="n">
        <x:f>COUNTIF(Final_Top_50!F:F,A35)</x:f>
        <x:v>1</x:v>
      </x:c>
      <x:c r="C35" s="14" t="n">
        <x:f>COUNTIF(Added_45_New_Papers!F:F,A35)</x:f>
        <x:v>0</x:v>
      </x:c>
      <x:c r="D35" s="14" t="n">
        <x:f>COUNTIF(Expanded_Corpus_170!H:H,A35)</x:f>
        <x:v>1</x:v>
      </x:c>
    </x:row>
    <x:row r="36">
      <x:c r="A36" s="14" t="str">
        <x:v>No-code XAI / user study</x:v>
      </x:c>
      <x:c r="B36" s="14" t="n">
        <x:f>COUNTIF(Final_Top_50!F:F,A36)</x:f>
        <x:v>1</x:v>
      </x:c>
      <x:c r="C36" s="14" t="n">
        <x:f>COUNTIF(Added_45_New_Papers!F:F,A36)</x:f>
        <x:v>1</x:v>
      </x:c>
      <x:c r="D36" s="14" t="n">
        <x:f>COUNTIF(Expanded_Corpus_170!H:H,A36)</x:f>
        <x:v>1</x:v>
      </x:c>
    </x:row>
    <x:row r="37">
      <x:c r="A37" s="14" t="str">
        <x:v>No-code machine learning tools</x:v>
      </x:c>
      <x:c r="B37" s="14" t="n">
        <x:f>COUNTIF(Final_Top_50!F:F,A37)</x:f>
        <x:v>1</x:v>
      </x:c>
      <x:c r="C37" s="14" t="n">
        <x:f>COUNTIF(Added_45_New_Papers!F:F,A37)</x:f>
        <x:v>1</x:v>
      </x:c>
      <x:c r="D37" s="14" t="n">
        <x:f>COUNTIF(Expanded_Corpus_170!H:H,A37)</x:f>
        <x:v>1</x:v>
      </x:c>
    </x:row>
    <x:row r="38">
      <x:c r="A38" s="14" t="str">
        <x:v>No-code multi-agent systems</x:v>
      </x:c>
      <x:c r="B38" s="14" t="n">
        <x:f>COUNTIF(Final_Top_50!F:F,A38)</x:f>
        <x:v>1</x:v>
      </x:c>
      <x:c r="C38" s="14" t="n">
        <x:f>COUNTIF(Added_45_New_Papers!F:F,A38)</x:f>
        <x:v>1</x:v>
      </x:c>
      <x:c r="D38" s="14" t="n">
        <x:f>COUNTIF(Expanded_Corpus_170!H:H,A38)</x:f>
        <x:v>1</x:v>
      </x:c>
    </x:row>
    <x:row r="39">
      <x:c r="A39" s="14" t="str">
        <x:v>No-code multimodal LLM agents</x:v>
      </x:c>
      <x:c r="B39" s="14" t="n">
        <x:f>COUNTIF(Final_Top_50!F:F,A39)</x:f>
        <x:v>1</x:v>
      </x:c>
      <x:c r="C39" s="14" t="n">
        <x:f>COUNTIF(Added_45_New_Papers!F:F,A39)</x:f>
        <x:v>1</x:v>
      </x:c>
      <x:c r="D39" s="14" t="n">
        <x:f>COUNTIF(Expanded_Corpus_170!H:H,A39)</x:f>
        <x:v>1</x:v>
      </x:c>
    </x:row>
    <x:row r="40">
      <x:c r="A40" s="14" t="str">
        <x:v>No-code robotics/cobot programming</x:v>
      </x:c>
      <x:c r="B40" s="14" t="n">
        <x:f>COUNTIF(Final_Top_50!F:F,A40)</x:f>
        <x:v>1</x:v>
      </x:c>
      <x:c r="C40" s="14" t="n">
        <x:f>COUNTIF(Added_45_New_Papers!F:F,A40)</x:f>
        <x:v>1</x:v>
      </x:c>
      <x:c r="D40" s="14" t="n">
        <x:f>COUNTIF(Expanded_Corpus_170!H:H,A40)</x:f>
        <x:v>1</x:v>
      </x:c>
    </x:row>
    <x:row r="41">
      <x:c r="A41" s="14" t="str">
        <x:v>Open-source LCNC platform</x:v>
      </x:c>
      <x:c r="B41" s="14" t="n">
        <x:f>COUNTIF(Final_Top_50!F:F,A41)</x:f>
        <x:v>1</x:v>
      </x:c>
      <x:c r="C41" s="14" t="n">
        <x:f>COUNTIF(Added_45_New_Papers!F:F,A41)</x:f>
        <x:v>0</x:v>
      </x:c>
      <x:c r="D41" s="14" t="n">
        <x:f>COUNTIF(Expanded_Corpus_170!H:H,A41)</x:f>
        <x:v>1</x:v>
      </x:c>
    </x:row>
    <x:row r="42">
      <x:c r="A42" s="14" t="str">
        <x:v>Open-source platform</x:v>
      </x:c>
      <x:c r="B42" s="14" t="n">
        <x:f>COUNTIF(Final_Top_50!F:F,A42)</x:f>
        <x:v>1</x:v>
      </x:c>
      <x:c r="C42" s="14" t="n">
        <x:f>COUNTIF(Added_45_New_Papers!F:F,A42)</x:f>
        <x:v>0</x:v>
      </x:c>
      <x:c r="D42" s="14" t="n">
        <x:f>COUNTIF(Expanded_Corpus_170!H:H,A42)</x:f>
        <x:v>1</x:v>
      </x:c>
    </x:row>
    <x:row r="43">
      <x:c r="A43" s="14" t="str">
        <x:v>Practical review / research tools</x:v>
      </x:c>
      <x:c r="B43" s="14" t="n">
        <x:f>COUNTIF(Final_Top_50!F:F,A43)</x:f>
        <x:v>1</x:v>
      </x:c>
      <x:c r="C43" s="14" t="n">
        <x:f>COUNTIF(Added_45_New_Papers!F:F,A43)</x:f>
        <x:v>0</x:v>
      </x:c>
      <x:c r="D43" s="14" t="n">
        <x:f>COUNTIF(Expanded_Corpus_170!H:H,A43)</x:f>
        <x:v>2</x:v>
      </x:c>
    </x:row>
    <x:row r="44">
      <x:c r="A44" s="14" t="str">
        <x:v>Professional developers / systematic mapping</x:v>
      </x:c>
      <x:c r="B44" s="14" t="n">
        <x:f>COUNTIF(Final_Top_50!F:F,A44)</x:f>
        <x:v>1</x:v>
      </x:c>
      <x:c r="C44" s="14" t="n">
        <x:f>COUNTIF(Added_45_New_Papers!F:F,A44)</x:f>
        <x:v>1</x:v>
      </x:c>
      <x:c r="D44" s="14" t="n">
        <x:f>COUNTIF(Expanded_Corpus_170!H:H,A44)</x:f>
        <x:v>1</x:v>
      </x:c>
    </x:row>
    <x:row r="45">
      <x:c r="A45" s="14" t="str">
        <x:v>Requirements engineering for no-code</x:v>
      </x:c>
      <x:c r="B45" s="14" t="n">
        <x:f>COUNTIF(Final_Top_50!F:F,A45)</x:f>
        <x:v>1</x:v>
      </x:c>
      <x:c r="C45" s="14" t="n">
        <x:f>COUNTIF(Added_45_New_Papers!F:F,A45)</x:f>
        <x:v>1</x:v>
      </x:c>
      <x:c r="D45" s="14" t="n">
        <x:f>COUNTIF(Expanded_Corpus_170!H:H,A45)</x:f>
        <x:v>1</x:v>
      </x:c>
    </x:row>
    <x:row r="46">
      <x:c r="A46" s="14" t="str">
        <x:v>Risks / SLR</x:v>
      </x:c>
      <x:c r="B46" s="14" t="n">
        <x:f>COUNTIF(Final_Top_50!F:F,A46)</x:f>
        <x:v>1</x:v>
      </x:c>
      <x:c r="C46" s="14" t="n">
        <x:f>COUNTIF(Added_45_New_Papers!F:F,A46)</x:f>
        <x:v>0</x:v>
      </x:c>
      <x:c r="D46" s="14" t="n">
        <x:f>COUNTIF(Expanded_Corpus_170!H:H,A46)</x:f>
        <x:v>2</x:v>
      </x:c>
    </x:row>
    <x:row r="47">
      <x:c r="A47" s="14" t="str">
        <x:v>SLR + future agenda</x:v>
      </x:c>
      <x:c r="B47" s="14" t="n">
        <x:f>COUNTIF(Final_Top_50!F:F,A47)</x:f>
        <x:v>1</x:v>
      </x:c>
      <x:c r="C47" s="14" t="n">
        <x:f>COUNTIF(Added_45_New_Papers!F:F,A47)</x:f>
        <x:v>0</x:v>
      </x:c>
      <x:c r="D47" s="14" t="n">
        <x:f>COUNTIF(Expanded_Corpus_170!H:H,A47)</x:f>
        <x:v>1</x:v>
      </x:c>
    </x:row>
    <x:row r="48">
      <x:c r="A48" s="14" t="str">
        <x:v>Skill profiles</x:v>
      </x:c>
      <x:c r="B48" s="14" t="n">
        <x:f>COUNTIF(Final_Top_50!F:F,A48)</x:f>
        <x:v>1</x:v>
      </x:c>
      <x:c r="C48" s="14" t="n">
        <x:f>COUNTIF(Added_45_New_Papers!F:F,A48)</x:f>
        <x:v>0</x:v>
      </x:c>
      <x:c r="D48" s="14" t="n">
        <x:f>COUNTIF(Expanded_Corpus_170!H:H,A48)</x:f>
        <x:v>1</x:v>
      </x:c>
    </x:row>
    <x:row r="49">
      <x:c r="A49" s="14" t="str">
        <x:v>Zero-code IoT / trigger-action programming</x:v>
      </x:c>
      <x:c r="B49" s="14" t="n">
        <x:f>COUNTIF(Final_Top_50!F:F,A49)</x:f>
        <x:v>1</x:v>
      </x:c>
      <x:c r="C49" s="14" t="n">
        <x:f>COUNTIF(Added_45_New_Papers!F:F,A49)</x:f>
        <x:v>1</x:v>
      </x:c>
      <x:c r="D49" s="14" t="n">
        <x:f>COUNTIF(Expanded_Corpus_170!H:H,A49)</x:f>
        <x:v>1</x:v>
      </x:c>
    </x:row>
    <x:row r="50">
      <x:c r="A50" s="14" t="str">
        <x:v>Zero-code LLM tools review</x:v>
      </x:c>
      <x:c r="B50" s="14" t="n">
        <x:f>COUNTIF(Final_Top_50!F:F,A50)</x:f>
        <x:v>1</x:v>
      </x:c>
      <x:c r="C50" s="14" t="n">
        <x:f>COUNTIF(Added_45_New_Papers!F:F,A50)</x:f>
        <x:v>0</x:v>
      </x:c>
      <x:c r="D50" s="14" t="n">
        <x:f>COUNTIF(Expanded_Corpus_170!H:H,A50)</x:f>
        <x:v>1</x:v>
      </x:c>
    </x:row>
  </x:sheetData>
  <x:pageMargins left="0.7" right="0.7" top="0.75" bottom="0.75" header="0.3" footer="0.3"/>
  <x:tableParts count="1">
    <x:tablePart xmlns:r="http://schemas.openxmlformats.org/officeDocument/2006/relationships" r:id="R04e1c69501fb437e"/>
  </x:tableParts>
</x:worksheet>
</file>

<file path=xl/worksheets/sheet7.xml><?xml version="1.0" encoding="utf-8"?>
<x:worksheet xmlns:x="http://schemas.openxmlformats.org/spreadsheetml/2006/main">
  <x:sheetFormatPr defaultRowHeight="15"/>
  <x:cols>
    <x:col min="1" max="1" width="10" hidden="0" customWidth="1"/>
    <x:col min="2" max="2" width="8" hidden="0" customWidth="1"/>
    <x:col min="3" max="3" width="42" hidden="0" customWidth="1"/>
    <x:col min="4" max="4" width="28" hidden="0" customWidth="1"/>
    <x:col min="5" max="5" width="48" hidden="0" customWidth="1"/>
    <x:col min="6" max="6" width="26" hidden="0" customWidth="1"/>
    <x:col min="7" max="7" width="38" hidden="0" customWidth="1"/>
    <x:col min="8" max="8" width="38" hidden="0" customWidth="1"/>
  </x:cols>
  <x:sheetData>
    <x:row r="1" ht="32" customHeight="1">
      <x:c r="A1" s="6" t="str">
        <x:v>Corpus_ID</x:v>
      </x:c>
      <x:c r="B1" s="6" t="str">
        <x:v>Year</x:v>
      </x:c>
      <x:c r="C1" s="6" t="str">
        <x:v>Title</x:v>
      </x:c>
      <x:c r="D1" s="6" t="str">
        <x:v>Decision</x:v>
      </x:c>
      <x:c r="E1" s="6" t="str">
        <x:v>Reason/Notes</x:v>
      </x:c>
      <x:c r="F1" s="6" t="str">
        <x:v>Source</x:v>
      </x:c>
      <x:c r="G1" s="6" t="str">
        <x:v>Article_URL</x:v>
      </x:c>
      <x:c r="H1" s="6" t="str">
        <x:v>Direct_PDF_URL</x:v>
      </x:c>
    </x:row>
    <x:row r="2" ht="64" customHeight="1">
      <x:c r="A2" s="14" t="n">
        <x:v>12</x:v>
      </x:c>
      <x:c r="B2" s="14" t="n">
        <x:v>2023</x:v>
      </x:c>
      <x:c r="C2" s="14" t="str">
        <x:v>Low-code LLM: Graphical User Interface over Large Language Models</x:v>
      </x:c>
      <x:c r="D2" s="14" t="str">
        <x:v>Screened out after title/abstract/quality screen</x:v>
      </x:c>
      <x:c r="E2" s="14" t="str"/>
      <x:c r="F2" s="14" t="str">
        <x:v>new papers(3).xlsx</x:v>
      </x:c>
      <x:c r="G2" s="14" t="str">
        <x:v>https://arxiv.org/abs/2304.08103</x:v>
      </x:c>
      <x:c r="H2" s="14" t="str"/>
    </x:row>
    <x:row r="3" ht="64" customHeight="1">
      <x:c r="A3" s="14" t="n">
        <x:v>17</x:v>
      </x:c>
      <x:c r="B3" s="14" t="n">
        <x:v>2026</x:v>
      </x:c>
      <x:c r="C3" s="14" t="str">
        <x:v>From Prompt to Production: Evaluating Generative AI-Augmented No-Code Platforms</x:v>
      </x:c>
      <x:c r="D3" s="14" t="str">
        <x:v>Screened out after title/abstract/quality screen</x:v>
      </x:c>
      <x:c r="E3" s="14" t="str"/>
      <x:c r="F3" s="14" t="str">
        <x:v>new papers(3).xlsx</x:v>
      </x:c>
      <x:c r="G3" s="14" t="str">
        <x:v>https://doi.org/10.1109/TSE.2026.1010101</x:v>
      </x:c>
      <x:c r="H3" s="14" t="str"/>
    </x:row>
    <x:row r="4" ht="64" customHeight="1">
      <x:c r="A4" s="14" t="n">
        <x:v>18</x:v>
      </x:c>
      <x:c r="B4" s="14" t="n">
        <x:v>2026</x:v>
      </x:c>
      <x:c r="C4" s="14" t="str">
        <x:v>Taming Shadow IT in 2026: Automated Governance Frameworks for Low-Code Enterprise Ecosystems</x:v>
      </x:c>
      <x:c r="D4" s="14" t="str">
        <x:v>Screened out after title/abstract/quality screen</x:v>
      </x:c>
      <x:c r="E4" s="14" t="str"/>
      <x:c r="F4" s="14" t="str">
        <x:v>new papers(3).xlsx</x:v>
      </x:c>
      <x:c r="G4" s="14" t="str">
        <x:v>https://doi.org/10.1145/3629485.3629500</x:v>
      </x:c>
      <x:c r="H4" s="14" t="str"/>
    </x:row>
    <x:row r="5" ht="64" customHeight="1">
      <x:c r="A5" s="14" t="n">
        <x:v>19</x:v>
      </x:c>
      <x:c r="B5" s="14" t="n">
        <x:v>2025</x:v>
      </x:c>
      <x:c r="C5" s="14" t="str">
        <x:v>Visual Programming for Edge Devices: A No-Code Approach to IoT Deployment</x:v>
      </x:c>
      <x:c r="D5" s="14" t="str">
        <x:v>Screened out after title/abstract/quality screen</x:v>
      </x:c>
      <x:c r="E5" s="14" t="str"/>
      <x:c r="F5" s="14" t="str">
        <x:v>new papers(3).xlsx</x:v>
      </x:c>
      <x:c r="G5" s="14" t="str">
        <x:v>https://doi.org/10.1016/j.iot.2025.100892</x:v>
      </x:c>
      <x:c r="H5" s="14" t="str"/>
    </x:row>
    <x:row r="6" ht="64" customHeight="1">
      <x:c r="A6" s="14" t="n">
        <x:v>20</x:v>
      </x:c>
      <x:c r="B6" s="14" t="n">
        <x:v>2025</x:v>
      </x:c>
      <x:c r="C6" s="14" t="str">
        <x:v>The Carbon Footprint of Democratization: Energy Efficiency of Low-Code Generated Applications</x:v>
      </x:c>
      <x:c r="D6" s="14" t="str">
        <x:v>Screened out after title/abstract/quality screen</x:v>
      </x:c>
      <x:c r="E6" s="14" t="str"/>
      <x:c r="F6" s="14" t="str">
        <x:v>new papers(3).xlsx</x:v>
      </x:c>
      <x:c r="G6" s="14" t="str">
        <x:v>https://doi.org/10.1109/TSS.2025.2901111</x:v>
      </x:c>
      <x:c r="H6" s="14" t="str"/>
    </x:row>
    <x:row r="7" ht="64" customHeight="1">
      <x:c r="A7" s="14" t="n">
        <x:v>21</x:v>
      </x:c>
      <x:c r="B7" s="14" t="n">
        <x:v>2026</x:v>
      </x:c>
      <x:c r="C7" s="14" t="str">
        <x:v>Vulnerability Injection in AI-Assisted Low-Code Platforms: A June 2026 Threat Landscape</x:v>
      </x:c>
      <x:c r="D7" s="14" t="str">
        <x:v>Screened out after title/abstract/quality screen</x:v>
      </x:c>
      <x:c r="E7" s="14" t="str"/>
      <x:c r="F7" s="14" t="str">
        <x:v>new papers(3).xlsx</x:v>
      </x:c>
      <x:c r="G7" s="14" t="str">
        <x:v>https://doi.org/10.1145/3650000.3650123</x:v>
      </x:c>
      <x:c r="H7" s="14" t="str"/>
    </x:row>
    <x:row r="8" ht="64" customHeight="1">
      <x:c r="A8" s="14" t="n">
        <x:v>22</x:v>
      </x:c>
      <x:c r="B8" s="14" t="n">
        <x:v>2025</x:v>
      </x:c>
      <x:c r="C8" s="14" t="str">
        <x:v>Domain-Specific No-Code: Rapid Development of HIPAA-Compliant Telehealth Micro-Apps</x:v>
      </x:c>
      <x:c r="D8" s="14" t="str">
        <x:v>Screened out after title/abstract/quality screen</x:v>
      </x:c>
      <x:c r="E8" s="14" t="str"/>
      <x:c r="F8" s="14" t="str">
        <x:v>new papers(3).xlsx</x:v>
      </x:c>
      <x:c r="G8" s="14" t="str">
        <x:v>https://doi.org/10.1016/j.jbi.2025.104221</x:v>
      </x:c>
      <x:c r="H8" s="14" t="str"/>
    </x:row>
    <x:row r="9" ht="64" customHeight="1">
      <x:c r="A9" s="14" t="n">
        <x:v>23</x:v>
      </x:c>
      <x:c r="B9" s="14" t="n">
        <x:v>2025</x:v>
      </x:c>
      <x:c r="C9" s="14" t="str">
        <x:v>Citizen Developers and the Accumulation of Technical Debt: A Longitudinal Study (2022-2025)</x:v>
      </x:c>
      <x:c r="D9" s="14" t="str">
        <x:v>Screened out after title/abstract/quality screen</x:v>
      </x:c>
      <x:c r="E9" s="14" t="str"/>
      <x:c r="F9" s="14" t="str">
        <x:v>new papers(3).xlsx</x:v>
      </x:c>
      <x:c r="G9" s="14" t="str">
        <x:v>https://doi.org/10.1007/s10664-025-10299-w</x:v>
      </x:c>
      <x:c r="H9" s="14" t="str"/>
    </x:row>
    <x:row r="10" ht="64" customHeight="1">
      <x:c r="A10" s="14" t="n">
        <x:v>24</x:v>
      </x:c>
      <x:c r="B10" s="14" t="n">
        <x:v>2026</x:v>
      </x:c>
      <x:c r="C10" s="14" t="str">
        <x:v>No-Code Spatial Computing: Drag-and-Drop Development for Mixed Reality Environments</x:v>
      </x:c>
      <x:c r="D10" s="14" t="str">
        <x:v>Screened out after title/abstract/quality screen</x:v>
      </x:c>
      <x:c r="E10" s="14" t="str"/>
      <x:c r="F10" s="14" t="str">
        <x:v>new papers(3).xlsx</x:v>
      </x:c>
      <x:c r="G10" s="14" t="str">
        <x:v>https://doi.org/10.1109/TVCG.2026.3112233</x:v>
      </x:c>
      <x:c r="H10" s="14" t="str"/>
    </x:row>
    <x:row r="11" ht="64" customHeight="1">
      <x:c r="A11" s="14" t="n">
        <x:v>25</x:v>
      </x:c>
      <x:c r="B11" s="14" t="n">
        <x:v>2022</x:v>
      </x:c>
      <x:c r="C11" s="14" t="str">
        <x:v>Beyond Coding: A Comprehensive Study of Low-Code, No-Code 
and Traditional Automation</x:v>
      </x:c>
      <x:c r="D11" s="14" t="str">
        <x:v>Screened out after title/abstract/quality screen</x:v>
      </x:c>
      <x:c r="E11" s="14" t="str"/>
      <x:c r="F11" s="14" t="str">
        <x:v>previous old papers(3).xlsx</x:v>
      </x:c>
      <x:c r="G11" s="14" t="str">
        <x:v>https://www.researchgate.net/profile/Rohit-Khankhoje/publication/376885521_Beyond_Coding_A_Comprehensive_Study_of_Low-Code_No-Code_and_Traditional_Automation/links/658d84170bb2c7472b1815f8/Beyond-Coding-A-Comprehensive-Study-of-Low-Code-No-Code-and-Traditional-Automation.pdf</x:v>
      </x:c>
      <x:c r="H11" s="14" t="str"/>
    </x:row>
    <x:row r="12" ht="64" customHeight="1">
      <x:c r="A12" s="14" t="n">
        <x:v>26</x:v>
      </x:c>
      <x:c r="B12" s="14" t="n">
        <x:v>2023</x:v>
      </x:c>
      <x:c r="C12" s="14" t="str">
        <x:v>LOW-CODE VS. TRADITIONAL CODING: A COMPARATIVE STUDY</x:v>
      </x:c>
      <x:c r="D12" s="14" t="str">
        <x:v>Screened out after title/abstract/quality screen</x:v>
      </x:c>
      <x:c r="E12" s="14" t="str"/>
      <x:c r="F12" s="14" t="str">
        <x:v>previous old papers(3).xlsx</x:v>
      </x:c>
      <x:c r="G12" s="14" t="str">
        <x:v>https://view.officeapps.live.com/op/view.aspx?src=https%3A%2F%2Fdspace.epoka.edu.al%2Fbitstream%2Fhandle%2F1%2F2349%2Ffinal%2520draft%2520Kleit%2520Daja.docx%3Fsequence%3D1%26isAllowed%3Dy&amp;wdOrigin=BROWSELINK</x:v>
      </x:c>
      <x:c r="H12" s="14" t="str"/>
    </x:row>
    <x:row r="13" ht="64" customHeight="1">
      <x:c r="A13" s="14" t="n">
        <x:v>27</x:v>
      </x:c>
      <x:c r="B13" s="14" t="n">
        <x:v>2022</x:v>
      </x:c>
      <x:c r="C13" s="14" t="str">
        <x:v>Low-code development and model-driven engineering: Two sides of the same coin?</x:v>
      </x:c>
      <x:c r="D13" s="14" t="str">
        <x:v>Screened out after title/abstract/quality screen</x:v>
      </x:c>
      <x:c r="E13" s="14" t="str"/>
      <x:c r="F13" s="14" t="str">
        <x:v>previous old papers(3).xlsx</x:v>
      </x:c>
      <x:c r="G13" s="14" t="str">
        <x:v>https://link.springer.com/article/10.1007/s10270-021-00970-2</x:v>
      </x:c>
      <x:c r="H13" s="14" t="str"/>
    </x:row>
    <x:row r="14" ht="64" customHeight="1">
      <x:c r="A14" s="14" t="n">
        <x:v>29</x:v>
      </x:c>
      <x:c r="B14" s="14" t="n">
        <x:v>2021</x:v>
      </x:c>
      <x:c r="C14" s="14" t="str">
        <x:v>Low-Code Platform</x:v>
      </x:c>
      <x:c r="D14" s="14" t="str">
        <x:v>Screened out after title/abstract/quality screen</x:v>
      </x:c>
      <x:c r="E14" s="14" t="str"/>
      <x:c r="F14" s="14" t="str">
        <x:v>previous old papers(3).xlsx</x:v>
      </x:c>
      <x:c r="G14" s="14" t="str">
        <x:v>https://link.springer.com/article/10.1007/s12599-021-00726-8</x:v>
      </x:c>
      <x:c r="H14" s="14" t="str"/>
    </x:row>
    <x:row r="15" ht="64" customHeight="1">
      <x:c r="A15" s="14" t="n">
        <x:v>30</x:v>
      </x:c>
      <x:c r="B15" s="14" t="n">
        <x:v>2021</x:v>
      </x:c>
      <x:c r="C15" s="14" t="str">
        <x:v>Characteristics and Challenges of Low-Code Development: The Practitioners' Perspective</x:v>
      </x:c>
      <x:c r="D15" s="14" t="str">
        <x:v>Screened out after title/abstract/quality screen</x:v>
      </x:c>
      <x:c r="E15" s="14" t="str"/>
      <x:c r="F15" s="14" t="str">
        <x:v>previous old papers(3).xlsx</x:v>
      </x:c>
      <x:c r="G15" s="14" t="str">
        <x:v>https://dl.acm.org/doi/abs/10.1145/3475716.3475782</x:v>
      </x:c>
      <x:c r="H15" s="14" t="str"/>
    </x:row>
    <x:row r="16" ht="64" customHeight="1">
      <x:c r="A16" s="14" t="n">
        <x:v>31</x:v>
      </x:c>
      <x:c r="B16" s="14" t="n">
        <x:v>2020</x:v>
      </x:c>
      <x:c r="C16" s="14" t="str">
        <x:v>Closing the gap between designers and developers in a low code ecosystem</x:v>
      </x:c>
      <x:c r="D16" s="14" t="str">
        <x:v>Screened out after title/abstract/quality screen</x:v>
      </x:c>
      <x:c r="E16" s="14" t="str"/>
      <x:c r="F16" s="14" t="str">
        <x:v>previous old papers(3).xlsx</x:v>
      </x:c>
      <x:c r="G16" s="14" t="str">
        <x:v>https://dl.acm.org/doi/abs/10.1145/3417990.3420195</x:v>
      </x:c>
      <x:c r="H16" s="14" t="str"/>
    </x:row>
    <x:row r="17" ht="64" customHeight="1">
      <x:c r="A17" s="14" t="n">
        <x:v>32</x:v>
      </x:c>
      <x:c r="B17" s="14" t="str">
        <x:v>21.11.2022</x:v>
      </x:c>
      <x:c r="C17" s="14" t="str">
        <x:v>Developer Experience in Low-Code Versus Traditional Development Platforms
A Comparative Experiment</x:v>
      </x:c>
      <x:c r="D17" s="14" t="str">
        <x:v>Screened out after title/abstract/quality screen</x:v>
      </x:c>
      <x:c r="E17" s="14" t="str"/>
      <x:c r="F17" s="14" t="str">
        <x:v>previous old papers(3).xlsx</x:v>
      </x:c>
      <x:c r="G17" s="14" t="str">
        <x:v>https://aaltodoc.aalto.fi/server/api/core/bitstreams/18f9453c-5930-4a94-a545-4f9dc51be7aa/content</x:v>
      </x:c>
      <x:c r="H17" s="14" t="str"/>
    </x:row>
    <x:row r="18" ht="64" customHeight="1">
      <x:c r="A18" s="14" t="n">
        <x:v>33</x:v>
      </x:c>
      <x:c r="B18" s="14" t="n">
        <x:v>2021</x:v>
      </x:c>
      <x:c r="C18" s="14" t="str">
        <x:v>An Empirical Study of Developer Discussions on Low-Code Software Development Challenges</x:v>
      </x:c>
      <x:c r="D18" s="14" t="str">
        <x:v>Screened out after title/abstract/quality screen</x:v>
      </x:c>
      <x:c r="E18" s="14" t="str"/>
      <x:c r="F18" s="14" t="str">
        <x:v>previous old papers(3).xlsx</x:v>
      </x:c>
      <x:c r="G18" s="14" t="str">
        <x:v>https://ieeexplore.ieee.org/abstract/document/9463132</x:v>
      </x:c>
      <x:c r="H18" s="14" t="str"/>
    </x:row>
    <x:row r="19" ht="64" customHeight="1">
      <x:c r="A19" s="14" t="n">
        <x:v>35</x:v>
      </x:c>
      <x:c r="B19" s="14" t="n">
        <x:v>2021</x:v>
      </x:c>
      <x:c r="C19" s="14" t="str">
        <x:v>Improving Collaboration Efficiency Between UX/UI Designers and Developers in a Low-Code Platform</x:v>
      </x:c>
      <x:c r="D19" s="14" t="str">
        <x:v>Screened out after title/abstract/quality screen</x:v>
      </x:c>
      <x:c r="E19" s="14" t="str"/>
      <x:c r="F19" s="14" t="str">
        <x:v>previous old papers(3).xlsx</x:v>
      </x:c>
      <x:c r="G19" s="14" t="str">
        <x:v>https://ieeexplore.ieee.org/abstract/document/9643662</x:v>
      </x:c>
      <x:c r="H19" s="14" t="str"/>
    </x:row>
    <x:row r="20" ht="64" customHeight="1">
      <x:c r="A20" s="14" t="n">
        <x:v>36</x:v>
      </x:c>
      <x:c r="B20" s="14" t="n">
        <x:v>2020</x:v>
      </x:c>
      <x:c r="C20" s="14" t="str">
        <x:v>Developer Experience of a Low-Code Platform: An exploratory study</x:v>
      </x:c>
      <x:c r="D20" s="14" t="str">
        <x:v>Screened out after title/abstract/quality screen</x:v>
      </x:c>
      <x:c r="E20" s="14" t="str"/>
      <x:c r="F20" s="14" t="str">
        <x:v>previous old papers(3).xlsx</x:v>
      </x:c>
      <x:c r="G20" s="14" t="str">
        <x:v>https://www.diva-portal.org/smash/record.jsf?pid=diva2%3A1485348&amp;dswid=9964</x:v>
      </x:c>
      <x:c r="H20" s="14" t="str"/>
    </x:row>
    <x:row r="21" ht="64" customHeight="1">
      <x:c r="A21" s="14" t="n">
        <x:v>37</x:v>
      </x:c>
      <x:c r="B21" s="14" t="n">
        <x:v>2020</x:v>
      </x:c>
      <x:c r="C21" s="14" t="str">
        <x:v>Supporting the understanding and comparison of low-code development platforms</x:v>
      </x:c>
      <x:c r="D21" s="14" t="str">
        <x:v>Screened out after title/abstract/quality screen</x:v>
      </x:c>
      <x:c r="E21" s="14" t="str"/>
      <x:c r="F21" s="14" t="str">
        <x:v>previous old papers(3).xlsx</x:v>
      </x:c>
      <x:c r="G21" s="14" t="str">
        <x:v>https://ieeexplore.ieee.org/abstract/document/9226356</x:v>
      </x:c>
      <x:c r="H21" s="14" t="str"/>
    </x:row>
    <x:row r="22" ht="64" customHeight="1">
      <x:c r="A22" s="14" t="n">
        <x:v>38</x:v>
      </x:c>
      <x:c r="B22" s="14" t="n">
        <x:v>2020</x:v>
      </x:c>
      <x:c r="C22" s="14" t="str">
        <x:v>Unleashing innovation using low 
code/no code – The age of the  
citizen developer</x:v>
      </x:c>
      <x:c r="D22" s="14" t="str">
        <x:v>Screened out after title/abstract/quality screen</x:v>
      </x:c>
      <x:c r="E22" s="14" t="str"/>
      <x:c r="F22" s="14" t="str">
        <x:v>previous old papers(3).xlsx</x:v>
      </x:c>
      <x:c r="G22" s="14" t="str">
        <x:v>arthur_d_little_prism_low_code_no_code.pdf</x:v>
      </x:c>
      <x:c r="H22" s="14" t="str"/>
    </x:row>
    <x:row r="23" ht="64" customHeight="1">
      <x:c r="A23" s="14" t="n">
        <x:v>39</x:v>
      </x:c>
      <x:c r="B23" s="14" t="n">
        <x:v>2024</x:v>
      </x:c>
      <x:c r="C23" s="14" t="str">
        <x:v>Analysing the Accessibility of Websites Built with Low
Code and No-Code Technologies in the Citizen 
Developer Context</x:v>
      </x:c>
      <x:c r="D23" s="14" t="str">
        <x:v>Screened out after title/abstract/quality screen</x:v>
      </x:c>
      <x:c r="E23" s="14" t="str"/>
      <x:c r="F23" s="14" t="str">
        <x:v>previous old papers(3).xlsx</x:v>
      </x:c>
      <x:c r="G23" s="14" t="str">
        <x:v>https://hj.diva-portal.org/smash/get/diva2:1879862/FULLTEXT01.pdf</x:v>
      </x:c>
      <x:c r="H23" s="14" t="str"/>
    </x:row>
    <x:row r="24" ht="64" customHeight="1">
      <x:c r="A24" s="14" t="n">
        <x:v>40</x:v>
      </x:c>
      <x:c r="B24" s="14" t="n">
        <x:v>2024</x:v>
      </x:c>
      <x:c r="C24" s="14" t="str">
        <x:v>Exploring The Impact of Low-Code and No-Code On Traditional Software Developers</x:v>
      </x:c>
      <x:c r="D24" s="14" t="str">
        <x:v>Screened out after title/abstract/quality screen</x:v>
      </x:c>
      <x:c r="E24" s="14" t="str"/>
      <x:c r="F24" s="14" t="str">
        <x:v>previous old papers(3).xlsx</x:v>
      </x:c>
      <x:c r="G24" s="14" t="str">
        <x:v>https://www.proquest.com/openview/053741ed8dccff5fd460a20145459951/1?cbl=18750&amp;diss=y&amp;pq-origsite=gscholar</x:v>
      </x:c>
      <x:c r="H24" s="14" t="str"/>
    </x:row>
    <x:row r="25" ht="64" customHeight="1">
      <x:c r="A25" s="14" t="n">
        <x:v>41</x:v>
      </x:c>
      <x:c r="B25" s="14" t="n">
        <x:v>2024</x:v>
      </x:c>
      <x:c r="C25" s="14" t="str">
        <x:v>Catalysts of Change: Citizen Developers Driving Digital Innovation: A look into the empowerment of Non-Traditional Developers using Low-code Digital Platforms to drive innovation</x:v>
      </x:c>
      <x:c r="D25" s="14" t="str">
        <x:v>Screened out after title/abstract/quality screen</x:v>
      </x:c>
      <x:c r="E25" s="14" t="str"/>
      <x:c r="F25" s="14" t="str">
        <x:v>previous old papers(3).xlsx</x:v>
      </x:c>
      <x:c r="G25" s="14" t="str">
        <x:v>Regeldokument - Linnéuniversitetet</x:v>
      </x:c>
      <x:c r="H25" s="14" t="str"/>
    </x:row>
    <x:row r="26" ht="64" customHeight="1">
      <x:c r="A26" s="14" t="n">
        <x:v>42</x:v>
      </x:c>
      <x:c r="B26" s="14" t="n">
        <x:v>2023</x:v>
      </x:c>
      <x:c r="C26" s="14" t="str">
        <x:v>Taking the Matter in their own Hands – Can Business Unit Developers Fullfill their 
Digital Demands with Low-Code Development Platforms?</x:v>
      </x:c>
      <x:c r="D26" s="14" t="str">
        <x:v>Screened out after title/abstract/quality screen</x:v>
      </x:c>
      <x:c r="E26" s="14" t="str"/>
      <x:c r="F26" s="14" t="str">
        <x:v>previous old papers(3).xlsx</x:v>
      </x:c>
      <x:c r="G26" s="14" t="str">
        <x:v>Paper Title (use style: paper title)</x:v>
      </x:c>
      <x:c r="H26" s="14" t="str"/>
    </x:row>
    <x:row r="27" ht="64" customHeight="1">
      <x:c r="A27" s="14" t="n">
        <x:v>43</x:v>
      </x:c>
      <x:c r="B27" s="14" t="n">
        <x:v>2020</x:v>
      </x:c>
      <x:c r="C27" s="14" t="str">
        <x:v>Low-Code as Enabler of Digital Transformation in Manufacturing Industry</x:v>
      </x:c>
      <x:c r="D27" s="14" t="str">
        <x:v>Screened out after title/abstract/quality screen</x:v>
      </x:c>
      <x:c r="E27" s="14" t="str"/>
      <x:c r="F27" s="14" t="str">
        <x:v>previous old papers(3).xlsx</x:v>
      </x:c>
      <x:c r="G27" s="14" t="str">
        <x:v>https://www.mdpi.com/2076-3417/10/1/12</x:v>
      </x:c>
      <x:c r="H27" s="14" t="str"/>
    </x:row>
    <x:row r="28" ht="64" customHeight="1">
      <x:c r="A28" s="14" t="n">
        <x:v>44</x:v>
      </x:c>
      <x:c r="B28" s="14" t="n">
        <x:v>2022</x:v>
      </x:c>
      <x:c r="C28" s="14" t="str">
        <x:v>ICT-enabled Job Crafting: 
How Business Unit Developers use Low
code Development Platforms to Craft Jobs</x:v>
      </x:c>
      <x:c r="D28" s="14" t="str">
        <x:v>Screened out after title/abstract/quality screen</x:v>
      </x:c>
      <x:c r="E28" s="14" t="str"/>
      <x:c r="F28" s="14" t="str">
        <x:v>previous old papers(3).xlsx</x:v>
      </x:c>
      <x:c r="G28" s="14" t="str">
        <x:v>https://www.alexandria.unisg.ch/server/api/core/bitstreams/831340eb-b7d9-4fe0-bc92-cf7a6f326af3/content</x:v>
      </x:c>
      <x:c r="H28" s="14" t="str"/>
    </x:row>
    <x:row r="29" ht="64" customHeight="1">
      <x:c r="A29" s="14" t="n">
        <x:v>45</x:v>
      </x:c>
      <x:c r="B29" s="14" t="n">
        <x:v>2021</x:v>
      </x:c>
      <x:c r="C29" s="14" t="str">
        <x:v>The Forrester Wave™: Low-Code Development 
Platforms For Professional Developers, Q2 2021</x:v>
      </x:c>
      <x:c r="D29" s="14" t="str">
        <x:v>Screened out after title/abstract/quality screen</x:v>
      </x:c>
      <x:c r="E29" s="14" t="str"/>
      <x:c r="F29" s="14" t="str">
        <x:v>previous old papers(3).xlsx</x:v>
      </x:c>
      <x:c r="G29" s="14" t="str">
        <x:v>https://economicmatter.com/wp-content/uploads/2022/02/The-Forrester-Wave-Low-Code-Development-Platforms.pdf</x:v>
      </x:c>
      <x:c r="H29" s="14" t="str"/>
    </x:row>
    <x:row r="30" ht="64" customHeight="1">
      <x:c r="A30" s="14" t="n">
        <x:v>47</x:v>
      </x:c>
      <x:c r="B30" s="14" t="n">
        <x:v>2023</x:v>
      </x:c>
      <x:c r="C30" s="14" t="str">
        <x:v>Could No-Code Be Code? Toward a No-Code Programming Language for Citizen Developers</x:v>
      </x:c>
      <x:c r="D30" s="14" t="str">
        <x:v>Screened out after title/abstract/quality screen</x:v>
      </x:c>
      <x:c r="E30" s="14" t="str"/>
      <x:c r="F30" s="14" t="str">
        <x:v>previous old papers(3).xlsx</x:v>
      </x:c>
      <x:c r="G30" s="14" t="str">
        <x:v>https://dl.acm.org/doi/abs/10.1145/3622758.3622893</x:v>
      </x:c>
      <x:c r="H30" s="14" t="str"/>
    </x:row>
    <x:row r="31" ht="64" customHeight="1">
      <x:c r="A31" s="14" t="n">
        <x:v>48</x:v>
      </x:c>
      <x:c r="B31" s="14" t="n">
        <x:v>2021</x:v>
      </x:c>
      <x:c r="C31" s="14" t="str">
        <x:v>Towards the no-code era: a vision and plan for the future of software development</x:v>
      </x:c>
      <x:c r="D31" s="14" t="str">
        <x:v>Screened out after title/abstract/quality screen</x:v>
      </x:c>
      <x:c r="E31" s="14" t="str"/>
      <x:c r="F31" s="14" t="str">
        <x:v>previous old papers(3).xlsx</x:v>
      </x:c>
      <x:c r="G31" s="14" t="str">
        <x:v>https://dl.acm.org/doi/abs/10.1145/3486949.3486965</x:v>
      </x:c>
      <x:c r="H31" s="14" t="str"/>
    </x:row>
    <x:row r="32" ht="64" customHeight="1">
      <x:c r="A32" s="14" t="n">
        <x:v>49</x:v>
      </x:c>
      <x:c r="B32" s="14" t="n">
        <x:v>2021</x:v>
      </x:c>
      <x:c r="C32" s="14" t="str">
        <x:v>The Impacts of Low/No-Code Development on Digital 
Transformation and Software Development</x:v>
      </x:c>
      <x:c r="D32" s="14" t="str">
        <x:v>Screened out after title/abstract/quality screen</x:v>
      </x:c>
      <x:c r="E32" s="14" t="str"/>
      <x:c r="F32" s="14" t="str">
        <x:v>previous old papers(3).xlsx</x:v>
      </x:c>
      <x:c r="G32" s="14" t="str">
        <x:v>https://arxiv.org/pdf/2112.14073</x:v>
      </x:c>
      <x:c r="H32" s="14" t="str"/>
    </x:row>
    <x:row r="33" ht="64" customHeight="1">
      <x:c r="A33" s="14" t="n">
        <x:v>50</x:v>
      </x:c>
      <x:c r="B33" s="14" t="n">
        <x:v>2021</x:v>
      </x:c>
      <x:c r="C33" s="14" t="str">
        <x:v>NO-CODE APPLICATION DEVELOPMENT ON THE EXAMPLE OF LOGOTEC APP STUDIO PLATFORM</x:v>
      </x:c>
      <x:c r="D33" s="14" t="str">
        <x:v>Screened out after title/abstract/quality screen</x:v>
      </x:c>
      <x:c r="E33" s="14" t="str"/>
      <x:c r="F33" s="14" t="str">
        <x:v>previous old papers(3).xlsx</x:v>
      </x:c>
      <x:c r="G33" s="14" t="str">
        <x:v>https://ph.pollub.pl/index.php/iapgos/article/view/2429</x:v>
      </x:c>
      <x:c r="H33" s="14" t="str"/>
    </x:row>
    <x:row r="34" ht="64" customHeight="1">
      <x:c r="A34" s="14" t="n">
        <x:v>51</x:v>
      </x:c>
      <x:c r="B34" s="14" t="n">
        <x:v>2024</x:v>
      </x:c>
      <x:c r="C34" s="14" t="str">
        <x:v>Low-Code/No-Code Platforms and Their  
Impact on Traditional Software  
Development: A Literature Review</x:v>
      </x:c>
      <x:c r="D34" s="14" t="str">
        <x:v>Screened out after title/abstract/quality screen</x:v>
      </x:c>
      <x:c r="E34" s="14" t="str"/>
      <x:c r="F34" s="14" t="str">
        <x:v>previous old papers(3).xlsx</x:v>
      </x:c>
      <x:c r="G34" s="14" t="str">
        <x:v>https://papers.ssrn.com/sol3/papers.cfm?abstract_id=5020038</x:v>
      </x:c>
      <x:c r="H34" s="14" t="str"/>
    </x:row>
    <x:row r="35" ht="64" customHeight="1">
      <x:c r="A35" s="14" t="n">
        <x:v>52</x:v>
      </x:c>
      <x:c r="B35" s="14" t="n">
        <x:v>2024</x:v>
      </x:c>
      <x:c r="C35" s="14" t="str">
        <x:v>Development of a Modularized Undergraduate Data Science and Big Data Curricular Using No-Code Software Development Tools</x:v>
      </x:c>
      <x:c r="D35" s="14" t="str">
        <x:v>Screened out after title/abstract/quality screen</x:v>
      </x:c>
      <x:c r="E35" s="14" t="str"/>
      <x:c r="F35" s="14" t="str">
        <x:v>previous old papers(3).xlsx</x:v>
      </x:c>
      <x:c r="G35" s="14" t="str">
        <x:v>Development of a Modularized Undergraduate Data Science and Big Data Curricular Using No-Code Software Development Tools | IEEE Journals &amp; Magazine | IEEE Xplore</x:v>
      </x:c>
      <x:c r="H35" s="14" t="str"/>
    </x:row>
    <x:row r="36" ht="64" customHeight="1">
      <x:c r="A36" s="14" t="n">
        <x:v>53</x:v>
      </x:c>
      <x:c r="B36" s="14" t="n">
        <x:v>2020</x:v>
      </x:c>
      <x:c r="C36" s="14" t="str">
        <x:v>The Rise of No/Low Code Software Development—No Experience Needed?</x:v>
      </x:c>
      <x:c r="D36" s="14" t="str">
        <x:v>Screened out after title/abstract/quality screen</x:v>
      </x:c>
      <x:c r="E36" s="14" t="str"/>
      <x:c r="F36" s="14" t="str">
        <x:v>previous old papers(3).xlsx</x:v>
      </x:c>
      <x:c r="G36" s="14" t="str">
        <x:v>https://pmc.ncbi.nlm.nih.gov/articles/PMC7361109/</x:v>
      </x:c>
      <x:c r="H36" s="14" t="str"/>
    </x:row>
    <x:row r="37" ht="64" customHeight="1">
      <x:c r="A37" s="14" t="n">
        <x:v>54</x:v>
      </x:c>
      <x:c r="B37" s="14" t="n">
        <x:v>2022</x:v>
      </x:c>
      <x:c r="C37" s="14" t="str">
        <x:v>What about the usability in low-code platforms? A systematic literature review</x:v>
      </x:c>
      <x:c r="D37" s="14" t="str">
        <x:v>Screened out after title/abstract/quality screen</x:v>
      </x:c>
      <x:c r="E37" s="14" t="str"/>
      <x:c r="F37" s="14" t="str">
        <x:v>previous old papers(3).xlsx</x:v>
      </x:c>
      <x:c r="G37" s="14" t="str">
        <x:v>https://www.sciencedirect.com/science/article/pii/S259011842200082X</x:v>
      </x:c>
      <x:c r="H37" s="14" t="str"/>
    </x:row>
    <x:row r="38" ht="64" customHeight="1">
      <x:c r="A38" s="14" t="n">
        <x:v>55</x:v>
      </x:c>
      <x:c r="B38" s="14" t="n">
        <x:v>2022</x:v>
      </x:c>
      <x:c r="C38" s="14" t="str">
        <x:v>Low-code platforms and languages: the future of software development</x:v>
      </x:c>
      <x:c r="D38" s="14" t="str">
        <x:v>Screened out after title/abstract/quality screen</x:v>
      </x:c>
      <x:c r="E38" s="14" t="str"/>
      <x:c r="F38" s="14" t="str">
        <x:v>previous old papers(3).xlsx</x:v>
      </x:c>
      <x:c r="G38" s="14" t="str">
        <x:v>https://ieeexplore.ieee.org/abstract/document/9974697</x:v>
      </x:c>
      <x:c r="H38" s="14" t="str"/>
    </x:row>
    <x:row r="39" ht="64" customHeight="1">
      <x:c r="A39" s="14" t="n">
        <x:v>56</x:v>
      </x:c>
      <x:c r="B39" s="14" t="n">
        <x:v>2021</x:v>
      </x:c>
      <x:c r="C39" s="14" t="str">
        <x:v>Factors that affect the utilization of low-code 
development platforms: survey study</x:v>
      </x:c>
      <x:c r="D39" s="14" t="str">
        <x:v>Screened out after title/abstract/quality screen</x:v>
      </x:c>
      <x:c r="E39" s="14" t="str"/>
      <x:c r="F39" s="14" t="str">
        <x:v>previous old papers(3).xlsx</x:v>
      </x:c>
      <x:c r="G39" s="14" t="str">
        <x:v>https://pdfs.semanticscholar.org/4f18/561e75945c083924b014d6cfe297687f55f5.pdf</x:v>
      </x:c>
      <x:c r="H39" s="14" t="str"/>
    </x:row>
    <x:row r="40" ht="64" customHeight="1">
      <x:c r="A40" s="14" t="n">
        <x:v>57</x:v>
      </x:c>
      <x:c r="B40" s="14" t="n">
        <x:v>2022</x:v>
      </x:c>
      <x:c r="C40" s="14" t="str">
        <x:v>An Investigation of Why Low Code Platforms Provide Answers and New Challenges</x:v>
      </x:c>
      <x:c r="D40" s="14" t="str">
        <x:v>Screened out after title/abstract/quality screen</x:v>
      </x:c>
      <x:c r="E40" s="14" t="str"/>
      <x:c r="F40" s="14" t="str">
        <x:v>previous old papers(3).xlsx</x:v>
      </x:c>
      <x:c r="G40" s="14" t="str">
        <x:v>https://scholarspace.manoa.hawaii.edu/items/227cc6b5-d9d1-4e76-9dec-1afcd484576b</x:v>
      </x:c>
      <x:c r="H40" s="14" t="str"/>
    </x:row>
    <x:row r="41" ht="64" customHeight="1">
      <x:c r="A41" s="14" t="n">
        <x:v>58</x:v>
      </x:c>
      <x:c r="B41" s="14" t="n">
        <x:v>2022</x:v>
      </x:c>
      <x:c r="C41" s="14" t="str">
        <x:v>Low-Code Development Platforms: A Descriptive Study</x:v>
      </x:c>
      <x:c r="D41" s="14" t="str">
        <x:v>Screened out after title/abstract/quality screen</x:v>
      </x:c>
      <x:c r="E41" s="14" t="str"/>
      <x:c r="F41" s="14" t="str">
        <x:v>previous old papers(3).xlsx</x:v>
      </x:c>
      <x:c r="G41" s="14" t="str">
        <x:v>https://ieeexplore.ieee.org/abstract/document/9820354</x:v>
      </x:c>
      <x:c r="H41" s="14" t="str"/>
    </x:row>
    <x:row r="42" ht="64" customHeight="1">
      <x:c r="A42" s="14" t="n">
        <x:v>59</x:v>
      </x:c>
      <x:c r="B42" s="14" t="str"/>
      <x:c r="C42" s="14" t="str">
        <x:v>Development and Validation of a Descriptive Cognitive Model for Predicting Usability Issues in a Low-Code Development Platform</x:v>
      </x:c>
      <x:c r="D42" s="14" t="str">
        <x:v>Screened out after title/abstract/quality screen</x:v>
      </x:c>
      <x:c r="E42" s="14" t="str"/>
      <x:c r="F42" s="14" t="str">
        <x:v>previous old papers(3).xlsx</x:v>
      </x:c>
      <x:c r="G42" s="14" t="str">
        <x:v>https://journals.sagepub.com/doi/full/10.1177/0018720820920429</x:v>
      </x:c>
      <x:c r="H42" s="14" t="str"/>
    </x:row>
    <x:row r="43" ht="64" customHeight="1">
      <x:c r="A43" s="14" t="n">
        <x:v>60</x:v>
      </x:c>
      <x:c r="B43" s="14" t="n">
        <x:v>2023</x:v>
      </x:c>
      <x:c r="C43" s="14" t="str">
        <x:v>Practitioners’ Perceptions on the Adoption of Low Code Development Platforms</x:v>
      </x:c>
      <x:c r="D43" s="14" t="str">
        <x:v>Screened out after title/abstract/quality screen</x:v>
      </x:c>
      <x:c r="E43" s="14" t="str"/>
      <x:c r="F43" s="14" t="str">
        <x:v>previous old papers(3).xlsx</x:v>
      </x:c>
      <x:c r="G43" s="14" t="str">
        <x:v>https://ieeexplore.ieee.org/abstract/document/10075454</x:v>
      </x:c>
      <x:c r="H43" s="14" t="str"/>
    </x:row>
    <x:row r="44" ht="64" customHeight="1">
      <x:c r="A44" s="14" t="n">
        <x:v>61</x:v>
      </x:c>
      <x:c r="B44" s="14" t="n">
        <x:v>2022</x:v>
      </x:c>
      <x:c r="C44" s="14" t="str">
        <x:v>DevOps Practitioners’ Perceptions of the Low-code Trend</x:v>
      </x:c>
      <x:c r="D44" s="14" t="str">
        <x:v>Screened out after title/abstract/quality screen</x:v>
      </x:c>
      <x:c r="E44" s="14" t="str"/>
      <x:c r="F44" s="14" t="str">
        <x:v>previous old papers(3).xlsx</x:v>
      </x:c>
      <x:c r="G44" s="14" t="str">
        <x:v>https://dl.acm.org/doi/abs/10.1145/3544902.3546635</x:v>
      </x:c>
      <x:c r="H44" s="14" t="str"/>
    </x:row>
    <x:row r="45" ht="64" customHeight="1">
      <x:c r="A45" s="14" t="n">
        <x:v>62</x:v>
      </x:c>
      <x:c r="B45" s="14" t="n">
        <x:v>2022</x:v>
      </x:c>
      <x:c r="C45" s="14" t="str">
        <x:v>Accessibility in Software Practice: A Practitioner’s Perspective</x:v>
      </x:c>
      <x:c r="D45" s="14" t="str">
        <x:v>Screened out after title/abstract/quality screen</x:v>
      </x:c>
      <x:c r="E45" s="14" t="str"/>
      <x:c r="F45" s="14" t="str">
        <x:v>previous old papers(3).xlsx</x:v>
      </x:c>
      <x:c r="G45" s="14" t="str">
        <x:v>https://dl.acm.org/doi/full/10.1145/3503508</x:v>
      </x:c>
      <x:c r="H45" s="14" t="str"/>
    </x:row>
    <x:row r="46" ht="64" customHeight="1">
      <x:c r="A46" s="14" t="n">
        <x:v>64</x:v>
      </x:c>
      <x:c r="B46" s="14" t="n">
        <x:v>2025</x:v>
      </x:c>
      <x:c r="C46" s="14" t="str">
        <x:v>BALTICLSC: LOW-CODE SOFTWARE DEVELOPMENTPLATFORM FOR LARGE SCALE COMPUTATIONS</x:v>
      </x:c>
      <x:c r="D46" s="14" t="str">
        <x:v>Screened out after title/abstract/quality screen</x:v>
      </x:c>
      <x:c r="E46" s="14" t="str"/>
      <x:c r="F46" s="14" t="str">
        <x:v>previous old papers(3).xlsx</x:v>
      </x:c>
      <x:c r="G46" s="14" t="str">
        <x:v>https://www.cai.sk/ojs/index.php/cai/article/view/2021_4_734/1102</x:v>
      </x:c>
      <x:c r="H46" s="14" t="str"/>
    </x:row>
    <x:row r="47" ht="64" customHeight="1">
      <x:c r="A47" s="14" t="n">
        <x:v>65</x:v>
      </x:c>
      <x:c r="B47" s="14" t="str"/>
      <x:c r="C47" s="14" t="str">
        <x:v>OLP—A RESTful Open Low-Code Platform</x:v>
      </x:c>
      <x:c r="D47" s="14" t="str">
        <x:v>Screened out after title/abstract/quality screen</x:v>
      </x:c>
      <x:c r="E47" s="14" t="str"/>
      <x:c r="F47" s="14" t="str">
        <x:v>previous old papers(3).xlsx</x:v>
      </x:c>
      <x:c r="G47" s="14" t="str">
        <x:v>https://www.mdpi.com/1999-5903/13/10/249</x:v>
      </x:c>
      <x:c r="H47" s="14" t="str"/>
    </x:row>
    <x:row r="48" ht="64" customHeight="1">
      <x:c r="A48" s="14" t="n">
        <x:v>66</x:v>
      </x:c>
      <x:c r="B48" s="14" t="n">
        <x:v>2025</x:v>
      </x:c>
      <x:c r="C48" s="14" t="str">
        <x:v>How Can No/Low Code Platforms Help End-Users Develop ML Applications? - A Systematic Review</x:v>
      </x:c>
      <x:c r="D48" s="14" t="str">
        <x:v>Screened out after title/abstract/quality screen</x:v>
      </x:c>
      <x:c r="E48" s="14" t="str"/>
      <x:c r="F48" s="14" t="str">
        <x:v>previous old papers(3).xlsx</x:v>
      </x:c>
      <x:c r="G48" s="14" t="str">
        <x:v>https://link.springer.com/chapter/10.1007/978-3-031-21707-4_25</x:v>
      </x:c>
      <x:c r="H48" s="14" t="str"/>
    </x:row>
    <x:row r="49" ht="64" customHeight="1">
      <x:c r="A49" s="14" t="n">
        <x:v>67</x:v>
      </x:c>
      <x:c r="B49" s="14" t="n">
        <x:v>2021</x:v>
      </x:c>
      <x:c r="C49" s="14" t="str">
        <x:v>In Search of the Essence of Low-Code: An Exploratory Study of Seven Development Platforms</x:v>
      </x:c>
      <x:c r="D49" s="14" t="str">
        <x:v>Screened out after title/abstract/quality screen</x:v>
      </x:c>
      <x:c r="E49" s="14" t="str"/>
      <x:c r="F49" s="14" t="str">
        <x:v>previous old papers(3).xlsx</x:v>
      </x:c>
      <x:c r="G49" s="14" t="str">
        <x:v>https://ieeexplore.ieee.org/abstract/document/9643620</x:v>
      </x:c>
      <x:c r="H49" s="14" t="str"/>
    </x:row>
    <x:row r="50" ht="64" customHeight="1">
      <x:c r="A50" s="14" t="n">
        <x:v>68</x:v>
      </x:c>
      <x:c r="B50" s="14" t="n">
        <x:v>2023</x:v>
      </x:c>
      <x:c r="C50" s="14" t="str">
        <x:v>COMPARATIVEANALYSISOFAPIINTEGRATION
 USINGCODEVSNO-CODE/LOW-CODE
 PLATFORMS</x:v>
      </x:c>
      <x:c r="D50" s="14" t="str">
        <x:v>Screened out after title/abstract/quality screen</x:v>
      </x:c>
      <x:c r="E50" s="14" t="str"/>
      <x:c r="F50" s="14" t="str">
        <x:v>previous old papers(3).xlsx</x:v>
      </x:c>
      <x:c r="G50" s="14" t="str">
        <x:v>http://www.ir.juit.ac.in:8080/jspui/bitstream/123456789/9849/1/Comparative%20Analysis%20of%20API%20Integration%20using%20Code%20Vs%20No-code%2c%20low-code%20Platforms.pdf</x:v>
      </x:c>
      <x:c r="H50" s="14" t="str"/>
    </x:row>
    <x:row r="51" ht="64" customHeight="1">
      <x:c r="A51" s="14" t="n">
        <x:v>69</x:v>
      </x:c>
      <x:c r="B51" s="14" t="n">
        <x:v>2021</x:v>
      </x:c>
      <x:c r="C51" s="14" t="str">
        <x:v>Analysis of Low Code-No Code Development 
Platforms in comparison with Traditional 
Development Methodologies</x:v>
      </x:c>
      <x:c r="D51" s="14" t="str">
        <x:v>Screened out after title/abstract/quality screen</x:v>
      </x:c>
      <x:c r="E51" s="14" t="str"/>
      <x:c r="F51" s="14" t="str">
        <x:v>previous old papers(3).xlsx</x:v>
      </x:c>
      <x:c r="G51" s="14" t="str">
        <x:v>https://d1wqtxts1xzle7.cloudfront.net/78542364/Analysis_of_Low_Code_No_Code_Development_Platforms_in_comparison_with_Traditional-libre.pdf?1641988528=&amp;response-content-disposition=inline%3B+filename%3DAnalysis_of_Low_Code_No_Code_Development.pdf&amp;Expires=1739187264&amp;Signature=WnyMZeA~2VwY7~OgoRfonRzRMALVRkESqqA-xzFRhd1CiiI8J1ee70jEOIPEqJ5GM4-WgytSIny-fXuJbk13FZLrjq70bj4YEpPibXMJKe6DuZnWJBJxSQAqQst0OHNsQmWm~sMcgwnE22C~xL4dR-N3yxgHJXfoYsNRznmHb0ic0SbAg-Vpbhv2qNqoWQzcEHH0GmD0hIrWAGvIY~yaEmfcTQr~0f4r4aYX3UHQSi~npgS5o1xUsu1K5LGP-Yf6MfNXLf1bv1crLB81u7L6tY72yO1-rOXnDDNQQRVH-XxoOICpL5ETPMIOhbFGm25rAq7O71NE5yAY16F7AXDcnA__&amp;Key-Pair-Id=APKAJLOHF5GGSLRBV4ZA</x:v>
      </x:c>
      <x:c r="H51" s="14" t="str"/>
    </x:row>
    <x:row r="52" ht="64" customHeight="1">
      <x:c r="A52" s="14" t="n">
        <x:v>70</x:v>
      </x:c>
      <x:c r="B52" s="14" t="n">
        <x:v>2023</x:v>
      </x:c>
      <x:c r="C52" s="14" t="str">
        <x:v>Designing for Programming Without Coding: User Experience of Mobile Low-code Software</x:v>
      </x:c>
      <x:c r="D52" s="14" t="str">
        <x:v>Screened out after title/abstract/quality screen</x:v>
      </x:c>
      <x:c r="E52" s="14" t="str"/>
      <x:c r="F52" s="14" t="str">
        <x:v>previous old papers(3).xlsx</x:v>
      </x:c>
      <x:c r="G52" s="14" t="str">
        <x:v>Designing for Programming Without Coding : User Experience of Mobile Low-code Software</x:v>
      </x:c>
      <x:c r="H52" s="14" t="str"/>
    </x:row>
    <x:row r="53" ht="64" customHeight="1">
      <x:c r="A53" s="14" t="n">
        <x:v>71</x:v>
      </x:c>
      <x:c r="B53" s="14" t="str"/>
      <x:c r="C53" s="14" t="str">
        <x:v>Safety Risks and Security Threats in Low-code Software Development</x:v>
      </x:c>
      <x:c r="D53" s="14" t="str">
        <x:v>Screened out after title/abstract/quality screen</x:v>
      </x:c>
      <x:c r="E53" s="14" t="str"/>
      <x:c r="F53" s="14" t="str">
        <x:v>previous old papers(3).xlsx</x:v>
      </x:c>
      <x:c r="G53" s="14" t="str">
        <x:v>http://essay.utwente.nl/101101/</x:v>
      </x:c>
      <x:c r="H53" s="14" t="str"/>
    </x:row>
    <x:row r="54" ht="64" customHeight="1">
      <x:c r="A54" s="14" t="n">
        <x:v>73</x:v>
      </x:c>
      <x:c r="B54" s="14" t="n">
        <x:v>2019</x:v>
      </x:c>
      <x:c r="C54" s="14" t="str">
        <x:v>Adoption and usability of low-code/no-code development tools</x:v>
      </x:c>
      <x:c r="D54" s="14" t="str">
        <x:v>Screened out after title/abstract/quality screen</x:v>
      </x:c>
      <x:c r="E54" s="14" t="str"/>
      <x:c r="F54" s="14" t="str">
        <x:v>previous old papers(3).xlsx</x:v>
      </x:c>
      <x:c r="G54" s="14" t="str">
        <x:v>CECIIS-2020_paper_31.pdf</x:v>
      </x:c>
      <x:c r="H54" s="14" t="str"/>
    </x:row>
    <x:row r="55" ht="64" customHeight="1">
      <x:c r="A55" s="14" t="n">
        <x:v>74</x:v>
      </x:c>
      <x:c r="B55" s="14" t="n">
        <x:v>2023</x:v>
      </x:c>
      <x:c r="C55" s="14" t="str">
        <x:v>A Multiple Mini Case Study on the Adoption of Low Code Development Platforms in Work Systems</x:v>
      </x:c>
      <x:c r="D55" s="14" t="str">
        <x:v>Screened out after title/abstract/quality screen</x:v>
      </x:c>
      <x:c r="E55" s="14" t="str"/>
      <x:c r="F55" s="14" t="str">
        <x:v>previous old papers(3).xlsx</x:v>
      </x:c>
      <x:c r="G55" s="14" t="str">
        <x:v>https://ieeexplore.ieee.org/abstract/document/10286446</x:v>
      </x:c>
      <x:c r="H55" s="14" t="str"/>
    </x:row>
    <x:row r="56" ht="64" customHeight="1">
      <x:c r="A56" s="14" t="n">
        <x:v>75</x:v>
      </x:c>
      <x:c r="B56" s="14" t="n">
        <x:v>2024</x:v>
      </x:c>
      <x:c r="C56" s="14" t="str">
        <x:v>Low-Code/No-Code Platforms and Their Impact on Traditional Software Development: A Literature Review</x:v>
      </x:c>
      <x:c r="D56" s="14" t="str">
        <x:v>Duplicate/low-fit flagged</x:v>
      </x:c>
      <x:c r="E56" s="14" t="str">
        <x:v>Duplicate or near-duplicate title inside the supplied corpus.</x:v>
      </x:c>
      <x:c r="F56" s="14" t="str">
        <x:v>previous old papers(3).xlsx</x:v>
      </x:c>
      <x:c r="G56" s="14" t="str">
        <x:v>https://papers.ssrn.com/sol3/papers.cfm?abstract_id=5020038</x:v>
      </x:c>
      <x:c r="H56" s="14" t="str"/>
    </x:row>
    <x:row r="57" ht="64" customHeight="1">
      <x:c r="A57" s="14" t="n">
        <x:v>76</x:v>
      </x:c>
      <x:c r="B57" s="14" t="str"/>
      <x:c r="C57" s="14" t="str">
        <x:v>This is not a research paper but a blog post</x:v>
      </x:c>
      <x:c r="D57" s="14" t="str">
        <x:v>Screened out after title/abstract/quality screen</x:v>
      </x:c>
      <x:c r="E57" s="14" t="str"/>
      <x:c r="F57" s="14" t="str">
        <x:v>previous old papers(3).xlsx</x:v>
      </x:c>
      <x:c r="G57" s="14" t="str">
        <x:v>The Rise of Low-Code and No-Code Platforms in 2025</x:v>
      </x:c>
      <x:c r="H57" s="14" t="str"/>
    </x:row>
    <x:row r="58" ht="64" customHeight="1">
      <x:c r="A58" s="14" t="n">
        <x:v>78</x:v>
      </x:c>
      <x:c r="B58" s="14" t="n">
        <x:v>2021</x:v>
      </x:c>
      <x:c r="C58" s="14" t="str">
        <x:v>Factors that affect the utilization of low-code 
development platforms: survey study</x:v>
      </x:c>
      <x:c r="D58" s="14" t="str">
        <x:v>Duplicate/low-fit flagged</x:v>
      </x:c>
      <x:c r="E58" s="14" t="str">
        <x:v>Duplicate or near-duplicate title inside the supplied corpus.</x:v>
      </x:c>
      <x:c r="F58" s="14" t="str">
        <x:v>previous old papers(3).xlsx</x:v>
      </x:c>
      <x:c r="G58" s="14" t="str">
        <x:v>https://pdfs.semanticscholar.org/4f18/561e75945c083924b014d6cfe297687f55f5.pdf</x:v>
      </x:c>
      <x:c r="H58" s="14" t="str"/>
    </x:row>
    <x:row r="59" ht="64" customHeight="1">
      <x:c r="A59" s="14" t="n">
        <x:v>79</x:v>
      </x:c>
      <x:c r="B59" s="14" t="n">
        <x:v>2020</x:v>
      </x:c>
      <x:c r="C59" s="14" t="str">
        <x:v>Adoption and usability of low-code/no-code development tools</x:v>
      </x:c>
      <x:c r="D59" s="14" t="str">
        <x:v>Duplicate/low-fit flagged</x:v>
      </x:c>
      <x:c r="E59" s="14" t="str">
        <x:v>Duplicate or near-duplicate title inside the supplied corpus.</x:v>
      </x:c>
      <x:c r="F59" s="14" t="str">
        <x:v>previous old papers(3).xlsx</x:v>
      </x:c>
      <x:c r="G59" s="14" t="str">
        <x:v>https://ceciis.foi.hr/2023/ceciis.foi.hr/2020/web/sites/default/files/ceciis2020/ETICT/CECIIS-2020_paper_31.pdf</x:v>
      </x:c>
      <x:c r="H59" s="14" t="str"/>
    </x:row>
    <x:row r="60" ht="64" customHeight="1">
      <x:c r="A60" s="14" t="n">
        <x:v>80</x:v>
      </x:c>
      <x:c r="B60" s="14" t="n">
        <x:v>2021</x:v>
      </x:c>
      <x:c r="C60" s="14" t="str">
        <x:v>Low-Code,No-Code,What’sUnderthe
 Hood?</x:v>
      </x:c>
      <x:c r="D60" s="14" t="str">
        <x:v>Screened out after title/abstract/quality screen</x:v>
      </x:c>
      <x:c r="E60" s="14" t="str"/>
      <x:c r="F60" s="14" t="str">
        <x:v>previous old papers(3).xlsx</x:v>
      </x:c>
      <x:c r="G60" s="14" t="str">
        <x:v>https://ieeexplore.ieee.org/stamp/stamp.jsp?tp=&amp;arnumber=9655393&amp;utm_source=sciencedirect_contenthosting&amp;getft_integrator=sciencedirect_contenthosting</x:v>
      </x:c>
      <x:c r="H60" s="14" t="str"/>
    </x:row>
    <x:row r="61" ht="64" customHeight="1">
      <x:c r="A61" s="14" t="n">
        <x:v>83</x:v>
      </x:c>
      <x:c r="B61" s="14" t="n">
        <x:v>2023</x:v>
      </x:c>
      <x:c r="C61" s="14" t="str">
        <x:v>What about the usability in low-code platforms? A systematic literature review</x:v>
      </x:c>
      <x:c r="D61" s="14" t="str">
        <x:v>Duplicate/low-fit flagged</x:v>
      </x:c>
      <x:c r="E61" s="14" t="str">
        <x:v>Duplicate or near-duplicate title inside the supplied corpus.</x:v>
      </x:c>
      <x:c r="F61" s="14" t="str">
        <x:v>previous old papers(3).xlsx</x:v>
      </x:c>
      <x:c r="G61" s="14" t="str">
        <x:v>http://sciencedirect.com/science/article/abs/pii/S259011842200082X</x:v>
      </x:c>
      <x:c r="H61" s="14" t="str"/>
    </x:row>
    <x:row r="62" ht="64" customHeight="1">
      <x:c r="A62" s="14" t="n">
        <x:v>84</x:v>
      </x:c>
      <x:c r="B62" s="14" t="n">
        <x:v>2023</x:v>
      </x:c>
      <x:c r="C62" s="14" t="str">
        <x:v>Low-Code/No-Code Platforms and Their
Impact on Traditional Software
Development: A Literature Review</x:v>
      </x:c>
      <x:c r="D62" s="14" t="str">
        <x:v>Duplicate/low-fit flagged</x:v>
      </x:c>
      <x:c r="E62" s="14" t="str">
        <x:v>Duplicate or near-duplicate title inside the supplied corpus.</x:v>
      </x:c>
      <x:c r="F62" s="14" t="str">
        <x:v>previous old papers(3).xlsx</x:v>
      </x:c>
      <x:c r="G62" s="14" t="str">
        <x:v>https://www.academia.edu/download/119551328/Low_Code_No_Code.pdf</x:v>
      </x:c>
      <x:c r="H62" s="14" t="str"/>
    </x:row>
    <x:row r="63" ht="64" customHeight="1">
      <x:c r="A63" s="14" t="n">
        <x:v>85</x:v>
      </x:c>
      <x:c r="B63" s="14" t="n">
        <x:v>2022</x:v>
      </x:c>
      <x:c r="C63" s="14" t="str">
        <x:v>Developer discussion topics on the adoption and barriers of low code software development platforms</x:v>
      </x:c>
      <x:c r="D63" s="14" t="str">
        <x:v>Duplicate/low-fit flagged</x:v>
      </x:c>
      <x:c r="E63" s="14" t="str">
        <x:v>Duplicate or near-duplicate title inside the supplied corpus.</x:v>
      </x:c>
      <x:c r="F63" s="14" t="str">
        <x:v>previous old papers(3).xlsx</x:v>
      </x:c>
      <x:c r="G63" s="14" t="str">
        <x:v>https://link.springer.com/article/10.1007/s10664-022-10244-0</x:v>
      </x:c>
      <x:c r="H63" s="14" t="str">
        <x:v>https://arxiv.org/pdf/2209.00844</x:v>
      </x:c>
    </x:row>
    <x:row r="64" ht="64" customHeight="1">
      <x:c r="A64" s="14" t="n">
        <x:v>86</x:v>
      </x:c>
      <x:c r="B64" s="14" t="n">
        <x:v>2023</x:v>
      </x:c>
      <x:c r="C64" s="14" t="str">
        <x:v>Algorithms in Low-Code-No-Code for Research Applications: A Practical Review</x:v>
      </x:c>
      <x:c r="D64" s="14" t="str">
        <x:v>Duplicate/low-fit flagged</x:v>
      </x:c>
      <x:c r="E64" s="14" t="str">
        <x:v>Duplicate or near-duplicate title inside the supplied corpus.</x:v>
      </x:c>
      <x:c r="F64" s="14" t="str">
        <x:v>previous old papers(3).xlsx</x:v>
      </x:c>
      <x:c r="G64" s="14" t="str">
        <x:v>https://www.mdpi.com/1999-4893/16/2/108</x:v>
      </x:c>
      <x:c r="H64" s="14" t="str">
        <x:v>https://www.mdpi.com/1999-4893/16/2/108/pdf</x:v>
      </x:c>
    </x:row>
    <x:row r="65" ht="64" customHeight="1">
      <x:c r="A65" s="14" t="n">
        <x:v>87</x:v>
      </x:c>
      <x:c r="B65" s="14" t="n">
        <x:v>2023</x:v>
      </x:c>
      <x:c r="C65" s="14" t="str">
        <x:v>Low-code/No-code Development : A systematic literature review</x:v>
      </x:c>
      <x:c r="D65" s="14" t="str">
        <x:v>Screened out after title/abstract/quality screen</x:v>
      </x:c>
      <x:c r="E65" s="14" t="str"/>
      <x:c r="F65" s="14" t="str">
        <x:v>previous old papers(3).xlsx</x:v>
      </x:c>
      <x:c r="G65" s="14" t="str">
        <x:v>https://ieeexplore.ieee.org/abstract/document/10373712</x:v>
      </x:c>
      <x:c r="H65" s="14" t="str"/>
    </x:row>
    <x:row r="66" ht="64" customHeight="1">
      <x:c r="A66" s="14" t="n">
        <x:v>88</x:v>
      </x:c>
      <x:c r="B66" s="14" t="n">
        <x:v>2023</x:v>
      </x:c>
      <x:c r="C66" s="14" t="str">
        <x:v>UNDERST UNDERSTANDING THE SOCIO-TECHNICAL ASPEC ANDING THE SOCIO-TECHNICAL ASPECTS OF LOWCODE ADOPTION FOR SOF CODE ADOPTION FOR SOFTWARE DEVEL ARE DEVELOPMENT</x:v>
      </x:c>
      <x:c r="D66" s="14" t="str">
        <x:v>Screened out after title/abstract/quality screen</x:v>
      </x:c>
      <x:c r="E66" s="14" t="str"/>
      <x:c r="F66" s="14" t="str">
        <x:v>previous old papers(3).xlsx</x:v>
      </x:c>
      <x:c r="G66" s="14" t="str">
        <x:v>https://aisel.aisnet.org/ecis2023_rp/357/</x:v>
      </x:c>
      <x:c r="H66" s="14" t="str"/>
    </x:row>
    <x:row r="67" ht="64" customHeight="1">
      <x:c r="A67" s="14" t="n">
        <x:v>89</x:v>
      </x:c>
      <x:c r="B67" s="14" t="n">
        <x:v>2024</x:v>
      </x:c>
      <x:c r="C67" s="14" t="str">
        <x:v>Low-code vs. the developer: An empirical study on the developer experience and efficiency of a no-code platform</x:v>
      </x:c>
      <x:c r="D67" s="14" t="str">
        <x:v>Duplicate/low-fit flagged</x:v>
      </x:c>
      <x:c r="E67" s="14" t="str">
        <x:v>Duplicate or near-duplicate title inside the supplied corpus.</x:v>
      </x:c>
      <x:c r="F67" s="14" t="str">
        <x:v>previous old papers(3).xlsx</x:v>
      </x:c>
      <x:c r="G67" s="14" t="str">
        <x:v>https://dl.acm.org/doi/10.1145/3652620.3688332</x:v>
      </x:c>
      <x:c r="H67" s="14" t="str">
        <x:v>https://www.uni-kassel.de/eecs/index.php?eID=dumpFile&amp;f=40025&amp;t=f&amp;token=b1a175d421589348da54f15ffb99610ac0d45cd4</x:v>
      </x:c>
    </x:row>
    <x:row r="68" ht="64" customHeight="1">
      <x:c r="A68" s="14" t="n">
        <x:v>91</x:v>
      </x:c>
      <x:c r="B68" s="14" t="n">
        <x:v>2024</x:v>
      </x:c>
      <x:c r="C68" s="14" t="str">
        <x:v>Systematic Literature Review of Low-Code and Its Future Trends</x:v>
      </x:c>
      <x:c r="D68" s="14" t="str">
        <x:v>Screened out after title/abstract/quality screen</x:v>
      </x:c>
      <x:c r="E68" s="14" t="str"/>
      <x:c r="F68" s="14" t="str">
        <x:v>previous old papers(3).xlsx</x:v>
      </x:c>
      <x:c r="G68" s="14" t="str">
        <x:v>https://ieeexplore.ieee.org/abstract/document/10795512</x:v>
      </x:c>
      <x:c r="H68" s="14" t="str"/>
    </x:row>
    <x:row r="69" ht="64" customHeight="1">
      <x:c r="A69" s="14" t="n">
        <x:v>92</x:v>
      </x:c>
      <x:c r="B69" s="14" t="n">
        <x:v>2023</x:v>
      </x:c>
      <x:c r="C69" s="14" t="str">
        <x:v>Digitalization of Management Processes in Small and Medium-Sized Enterprises—An Overview of Low-Code and No-Code Platforms</x:v>
      </x:c>
      <x:c r="D69" s="14" t="str">
        <x:v>Screened out after title/abstract/quality screen</x:v>
      </x:c>
      <x:c r="E69" s="14" t="str"/>
      <x:c r="F69" s="14" t="str">
        <x:v>previous old papers(3).xlsx</x:v>
      </x:c>
      <x:c r="G69" s="14" t="str">
        <x:v>https://www.mdpi.com/2076-3417/13/24/13078</x:v>
      </x:c>
      <x:c r="H69" s="14" t="str"/>
    </x:row>
    <x:row r="70" ht="64" customHeight="1">
      <x:c r="A70" s="14" t="n">
        <x:v>94</x:v>
      </x:c>
      <x:c r="B70" s="14" t="n">
        <x:v>2024</x:v>
      </x:c>
      <x:c r="C70" s="14" t="str">
        <x:v>Scalability and Performance Limitations of Low-Code and No-Code Platforms for Large-Scale Enterprise Applications and Solutions</x:v>
      </x:c>
      <x:c r="D70" s="14" t="str">
        <x:v>Screened out after title/abstract/quality screen</x:v>
      </x:c>
      <x:c r="E70" s="14" t="str"/>
      <x:c r="F70" s="14" t="str">
        <x:v>previous old papers(3).xlsx</x:v>
      </x:c>
      <x:c r="G70" s="14" t="str">
        <x:v>https://ijetcsit.org/index.php/ijetcsit/article/view/368</x:v>
      </x:c>
      <x:c r="H70" s="14" t="str"/>
    </x:row>
    <x:row r="71" ht="64" customHeight="1">
      <x:c r="A71" s="14" t="n">
        <x:v>95</x:v>
      </x:c>
      <x:c r="B71" s="14" t="n">
        <x:v>2023</x:v>
      </x:c>
      <x:c r="C71" s="14" t="str">
        <x:v>Low-code/No-code Platforms and Modern ERP Systems</x:v>
      </x:c>
      <x:c r="D71" s="14" t="str">
        <x:v>Screened out after title/abstract/quality screen</x:v>
      </x:c>
      <x:c r="E71" s="14" t="str"/>
      <x:c r="F71" s="14" t="str">
        <x:v>previous old papers(3).xlsx</x:v>
      </x:c>
      <x:c r="G71" s="14" t="str">
        <x:v>https://ieeexplore.ieee.org/abstract/document/10145213</x:v>
      </x:c>
      <x:c r="H71" s="14" t="str"/>
    </x:row>
    <x:row r="72" ht="64" customHeight="1">
      <x:c r="A72" s="14" t="n">
        <x:v>96</x:v>
      </x:c>
      <x:c r="B72" s="14" t="str">
        <x:v>Year2025 (Published Jan 2025, covers 2024 trends)</x:v>
      </x:c>
      <x:c r="C72" s="14" t="str">
        <x:v>Artificial Intelligence (AI) for Low-Code and No-Code Development: Making Non-Developers Developers in 2024</x:v>
      </x:c>
      <x:c r="D72" s="14" t="str">
        <x:v>Screened out after title/abstract/quality screen</x:v>
      </x:c>
      <x:c r="E72" s="14" t="str"/>
      <x:c r="F72" s="14" t="str">
        <x:v>previous old papers(3).xlsx</x:v>
      </x:c>
      <x:c r="G72" s="14" t="str">
        <x:v>https://www.researchgate.net/profile/Goutham-Kacheru-2/publication/388646891_Artificial_Intelligence_AI_for_Low-Code_and_No-Code_Development_Making_Non-Developers_Developers_in_2024/links/67a0ee0452b58d39f2686bed/Artificial-Intelligence-AI-for-Low-Code-and-No-Code-Development-Making-Non-Developers-Developers-in-2024.pdf</x:v>
      </x:c>
      <x:c r="H72" s="14" t="str"/>
    </x:row>
    <x:row r="73" ht="64" customHeight="1">
      <x:c r="A73" s="14" t="n">
        <x:v>98</x:v>
      </x:c>
      <x:c r="B73" s="14" t="n">
        <x:v>2025</x:v>
      </x:c>
      <x:c r="C73" s="14" t="str">
        <x:v>A systematic literature review on current developments of low code-no code
solutions in the IT sector</x:v>
      </x:c>
      <x:c r="D73" s="14" t="str">
        <x:v>Screened out after title/abstract/quality screen</x:v>
      </x:c>
      <x:c r="E73" s="14" t="str"/>
      <x:c r="F73" s="14" t="str">
        <x:v>previous old papers(3).xlsx</x:v>
      </x:c>
      <x:c r="G73" s="14" t="str">
        <x:v>https://www.researchgate.net/profile/Firoz-Ozman-2/publication/390314699_A_systematic_literature_review_on_current_developments_of_low_code-no_code_solutions_in_the_IT_sector/links/68ae27312c7d3e0029b3b90a/A-systematic-literature-review-on-current-developments-of-low-code-no-code-solutions-in-the-IT-sector.pdf</x:v>
      </x:c>
      <x:c r="H73" s="14" t="str"/>
    </x:row>
    <x:row r="74" ht="64" customHeight="1">
      <x:c r="A74" s="14" t="n">
        <x:v>99</x:v>
      </x:c>
      <x:c r="B74" s="14" t="n">
        <x:v>2023</x:v>
      </x:c>
      <x:c r="C74" s="14" t="str">
        <x:v>Low-Code and No-Code Evolution: Empowering Domain Experts with Declarative AI Interfaces</x:v>
      </x:c>
      <x:c r="D74" s="14" t="str">
        <x:v>Screened out after title/abstract/quality screen</x:v>
      </x:c>
      <x:c r="E74" s="14" t="str"/>
      <x:c r="F74" s="14" t="str">
        <x:v>previous old papers(3).xlsx</x:v>
      </x:c>
      <x:c r="G74" s="14" t="str">
        <x:v>https://ijaidsml.org/index.php/ijaidsml/article/view/251</x:v>
      </x:c>
      <x:c r="H74" s="14" t="str"/>
    </x:row>
    <x:row r="75" ht="64" customHeight="1">
      <x:c r="A75" s="14" t="n">
        <x:v>101</x:v>
      </x:c>
      <x:c r="B75" s="14" t="n">
        <x:v>2023</x:v>
      </x:c>
      <x:c r="C75" s="14" t="str">
        <x:v>Low-Code/No-Code Artificial Intelligence Platforms for the Health Informatics Domain</x:v>
      </x:c>
      <x:c r="D75" s="14" t="str">
        <x:v>Screened out after title/abstract/quality screen</x:v>
      </x:c>
      <x:c r="E75" s="14" t="str"/>
      <x:c r="F75" s="14" t="str">
        <x:v>previous old papers(3).xlsx</x:v>
      </x:c>
      <x:c r="G75" s="14" t="str">
        <x:v>https://eceasst.org/index.php/eceasst/article/view/2313</x:v>
      </x:c>
      <x:c r="H75" s="14" t="str"/>
    </x:row>
    <x:row r="76" ht="64" customHeight="1">
      <x:c r="A76" s="14" t="n">
        <x:v>102</x:v>
      </x:c>
      <x:c r="B76" s="14" t="n">
        <x:v>2025</x:v>
      </x:c>
      <x:c r="C76" s="14" t="str">
        <x:v>Low-code platform adoption and governance</x:v>
      </x:c>
      <x:c r="D76" s="14" t="str">
        <x:v>Screened out after title/abstract/quality screen</x:v>
      </x:c>
      <x:c r="E76" s="14" t="str"/>
      <x:c r="F76" s="14" t="str">
        <x:v>previous old papers(3).xlsx</x:v>
      </x:c>
      <x:c r="G76" s="14" t="str">
        <x:v>https://lutpub.lut.fi/handle/10024/170128</x:v>
      </x:c>
      <x:c r="H76" s="14" t="str"/>
    </x:row>
    <x:row r="77" ht="64" customHeight="1">
      <x:c r="A77" s="14" t="n">
        <x:v>121</x:v>
      </x:c>
      <x:c r="B77" s="14" t="n">
        <x:v>2024</x:v>
      </x:c>
      <x:c r="C77" s="14" t="str">
        <x:v>Potentials and Risks of the Low-Code Development: A Systematic Literature Review</x:v>
      </x:c>
      <x:c r="D77" s="14" t="str">
        <x:v>Duplicate/low-fit flagged</x:v>
      </x:c>
      <x:c r="E77" s="14" t="str">
        <x:v>Duplicate or near-duplicate title inside the supplied corpus.</x:v>
      </x:c>
      <x:c r="F77" s="14" t="str">
        <x:v>previous old papers(3).xlsx</x:v>
      </x:c>
      <x:c r="G77" s="14" t="str">
        <x:v>https://link.springer.com/chapter/10.1007/978-3-658-48215-2_8</x:v>
      </x:c>
      <x:c r="H77" s="14" t="str">
        <x:v>https://link.springer.com/content/pdf/10.1007/978-3-658-48215-2_8.pdf</x:v>
      </x:c>
    </x:row>
    <x:row r="78" ht="64" customHeight="1"/>
    <x:row r="79" ht="64" customHeight="1"/>
    <x:row r="80" ht="64" customHeight="1"/>
    <x:row r="81" ht="64" customHeight="1"/>
    <x:row r="82" ht="64" customHeight="1"/>
    <x:row r="83" ht="64" customHeight="1"/>
    <x:row r="84" ht="64" customHeight="1"/>
    <x:row r="85" ht="64" customHeight="1"/>
    <x:row r="86" ht="64" customHeight="1"/>
    <x:row r="87" ht="64" customHeight="1"/>
    <x:row r="88" ht="64" customHeight="1"/>
    <x:row r="89" ht="64" customHeight="1"/>
    <x:row r="90" ht="64" customHeight="1"/>
    <x:row r="91" ht="64" customHeight="1"/>
    <x:row r="92" ht="64" customHeight="1"/>
    <x:row r="93" ht="64" customHeight="1"/>
    <x:row r="94" ht="64" customHeight="1"/>
    <x:row r="95" ht="64" customHeight="1"/>
    <x:row r="96" ht="64" customHeight="1"/>
    <x:row r="97" ht="64" customHeight="1"/>
    <x:row r="98" ht="64" customHeight="1"/>
    <x:row r="99" ht="64" customHeight="1"/>
    <x:row r="100" ht="64" customHeight="1"/>
    <x:row r="101" ht="64" customHeight="1"/>
    <x:row r="102" ht="64" customHeight="1"/>
    <x:row r="103" ht="64" customHeight="1"/>
    <x:row r="104" ht="64" customHeight="1"/>
    <x:row r="105" ht="64" customHeight="1"/>
    <x:row r="106" ht="64" customHeight="1"/>
    <x:row r="107" ht="64" customHeight="1"/>
    <x:row r="108" ht="64" customHeight="1"/>
    <x:row r="109" ht="64" customHeight="1"/>
    <x:row r="110" ht="64" customHeight="1"/>
    <x:row r="111" ht="64" customHeight="1"/>
    <x:row r="112" ht="64" customHeight="1"/>
    <x:row r="113" ht="64" customHeight="1"/>
    <x:row r="114" ht="64" customHeight="1"/>
    <x:row r="115" ht="64" customHeight="1"/>
    <x:row r="116" ht="64" customHeight="1"/>
    <x:row r="117" ht="64" customHeight="1"/>
    <x:row r="118" ht="64" customHeight="1"/>
    <x:row r="119" ht="64" customHeight="1"/>
    <x:row r="120" ht="64" customHeight="1"/>
    <x:row r="121" ht="64" customHeight="1"/>
    <x:row r="122" ht="64" customHeight="1"/>
    <x:row r="123" ht="64" customHeight="1"/>
    <x:row r="124" ht="64" customHeight="1"/>
    <x:row r="125" ht="64" customHeight="1"/>
    <x:row r="126" ht="64" customHeight="1"/>
    <x:row r="127" ht="64" customHeight="1"/>
    <x:row r="128" ht="64" customHeight="1"/>
    <x:row r="129" ht="64" customHeight="1"/>
    <x:row r="130" ht="64" customHeight="1"/>
    <x:row r="131" ht="64" customHeight="1"/>
    <x:row r="132" ht="64" customHeight="1"/>
    <x:row r="133" ht="64" customHeight="1"/>
    <x:row r="134" ht="64" customHeight="1"/>
    <x:row r="135" ht="64" customHeight="1"/>
    <x:row r="136" ht="64" customHeight="1"/>
    <x:row r="137" ht="64" customHeight="1"/>
    <x:row r="138" ht="64" customHeight="1"/>
    <x:row r="139" ht="64" customHeight="1"/>
    <x:row r="140" ht="64" customHeight="1"/>
    <x:row r="141" ht="64" customHeight="1"/>
    <x:row r="142" ht="64" customHeight="1"/>
    <x:row r="143" ht="64" customHeight="1"/>
    <x:row r="144" ht="64" customHeight="1"/>
    <x:row r="145" ht="64" customHeight="1"/>
    <x:row r="146" ht="64" customHeight="1"/>
    <x:row r="147" ht="64" customHeight="1"/>
    <x:row r="148" ht="64" customHeight="1"/>
    <x:row r="149" ht="64" customHeight="1"/>
    <x:row r="150" ht="64" customHeight="1"/>
    <x:row r="151" ht="64" customHeight="1"/>
    <x:row r="152" ht="64" customHeight="1"/>
    <x:row r="153" ht="64" customHeight="1"/>
    <x:row r="154" ht="64" customHeight="1"/>
    <x:row r="155" ht="64" customHeight="1"/>
    <x:row r="156" ht="64" customHeight="1"/>
    <x:row r="157" ht="64" customHeight="1"/>
    <x:row r="158" ht="64" customHeight="1"/>
    <x:row r="159" ht="64" customHeight="1"/>
    <x:row r="160" ht="64" customHeight="1"/>
    <x:row r="161" ht="64" customHeight="1"/>
    <x:row r="162" ht="64" customHeight="1"/>
    <x:row r="163" ht="64" customHeight="1"/>
    <x:row r="164" ht="64" customHeight="1"/>
    <x:row r="165" ht="64" customHeight="1"/>
    <x:row r="166" ht="64" customHeight="1"/>
    <x:row r="167" ht="64" customHeight="1"/>
    <x:row r="168" ht="64" customHeight="1"/>
    <x:row r="169" ht="64" customHeight="1"/>
    <x:row r="170" ht="64" customHeight="1"/>
    <x:row r="171" ht="64" customHeight="1"/>
    <x:row r="172" ht="64" customHeight="1"/>
    <x:row r="173" ht="64" customHeight="1"/>
    <x:row r="174" ht="64" customHeight="1"/>
    <x:row r="175" ht="64" customHeight="1"/>
    <x:row r="176" ht="64" customHeight="1"/>
    <x:row r="177" ht="64" customHeight="1"/>
    <x:row r="178" ht="64" customHeight="1"/>
    <x:row r="179" ht="64" customHeight="1"/>
    <x:row r="180" ht="64" customHeight="1"/>
    <x:row r="181" ht="64" customHeight="1"/>
    <x:row r="182" ht="64" customHeight="1"/>
    <x:row r="183" ht="64" customHeight="1"/>
    <x:row r="184" ht="64" customHeight="1"/>
    <x:row r="185" ht="64" customHeight="1"/>
    <x:row r="186" ht="64" customHeight="1"/>
    <x:row r="187" ht="64" customHeight="1"/>
    <x:row r="188" ht="64" customHeight="1"/>
    <x:row r="189" ht="64" customHeight="1"/>
    <x:row r="190" ht="64" customHeight="1"/>
    <x:row r="191" ht="64" customHeight="1"/>
    <x:row r="192" ht="64" customHeight="1"/>
    <x:row r="193" ht="64" customHeight="1"/>
    <x:row r="194" ht="64" customHeight="1"/>
    <x:row r="195" ht="64" customHeight="1"/>
    <x:row r="196" ht="64" customHeight="1"/>
    <x:row r="197" ht="64" customHeight="1"/>
    <x:row r="198" ht="64" customHeight="1"/>
    <x:row r="199" ht="64" customHeight="1"/>
    <x:row r="200" ht="64" customHeight="1"/>
  </x:sheetData>
  <x:pageMargins left="0.7" right="0.7" top="0.75" bottom="0.75" header="0.3" footer="0.3"/>
  <x:tableParts count="1">
    <x:tablePart xmlns:r="http://schemas.openxmlformats.org/officeDocument/2006/relationships" r:id="Rb2ab629ca3dc4c9a"/>
  </x:tableParts>
</x:worksheet>
</file>