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ans\Downloads\"/>
    </mc:Choice>
  </mc:AlternateContent>
  <xr:revisionPtr revIDLastSave="0" documentId="8_{46611CEC-D1DA-49B3-8ABC-238F2A8240A8}" xr6:coauthVersionLast="47" xr6:coauthVersionMax="47" xr10:uidLastSave="{00000000-0000-0000-0000-000000000000}"/>
  <bookViews>
    <workbookView xWindow="-108" yWindow="-108" windowWidth="23256" windowHeight="12456" firstSheet="4" activeTab="4" xr2:uid="{00000000-000D-0000-FFFF-FFFF00000000}"/>
  </bookViews>
  <sheets>
    <sheet name="Master_Extraction" sheetId="2" r:id="rId1"/>
    <sheet name="Evidence_Quotes" sheetId="3" r:id="rId2"/>
    <sheet name="Quality_Appraisal" sheetId="4" r:id="rId3"/>
    <sheet name="Theme_Codebook" sheetId="5" r:id="rId4"/>
    <sheet name="Synthesis_Matrix" sheetId="6" r:id="rId5"/>
    <sheet name="Method_Taxonomy" sheetId="7" r:id="rId6"/>
    <sheet name="Controlled_Vocab" sheetId="8" r:id="rId7"/>
    <sheet name="Dashboard"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0" l="1"/>
  <c r="H11" i="10"/>
  <c r="H10" i="10"/>
  <c r="E10" i="10"/>
  <c r="H9" i="10"/>
  <c r="E9" i="10"/>
  <c r="B9" i="10"/>
  <c r="H8" i="10"/>
  <c r="E8" i="10"/>
  <c r="B8" i="10"/>
  <c r="H7" i="10"/>
  <c r="E7" i="10"/>
  <c r="B7" i="10"/>
  <c r="H6" i="10"/>
  <c r="E6" i="10"/>
  <c r="B6" i="10"/>
  <c r="H5" i="10"/>
  <c r="E5" i="10"/>
  <c r="B5" i="10"/>
  <c r="H4" i="10"/>
  <c r="E4" i="10"/>
  <c r="B4" i="10"/>
  <c r="H3" i="10"/>
  <c r="E3" i="10"/>
  <c r="B3" i="10"/>
  <c r="C17" i="7"/>
  <c r="B17" i="7"/>
  <c r="C16" i="7"/>
  <c r="B16" i="7"/>
  <c r="C15" i="7"/>
  <c r="B15" i="7"/>
  <c r="C14" i="7"/>
  <c r="B14" i="7"/>
  <c r="C13" i="7"/>
  <c r="B13" i="7"/>
  <c r="C12" i="7"/>
  <c r="B12" i="7"/>
  <c r="C11" i="7"/>
  <c r="B11" i="7"/>
  <c r="C10" i="7"/>
  <c r="B10" i="7"/>
  <c r="C9" i="7"/>
  <c r="B9" i="7"/>
  <c r="C8" i="7"/>
  <c r="B8" i="7"/>
  <c r="C7" i="7"/>
  <c r="B7" i="7"/>
  <c r="C6" i="7"/>
  <c r="B6" i="7"/>
  <c r="C5" i="7"/>
  <c r="B5" i="7"/>
  <c r="C4" i="7"/>
  <c r="B4" i="7"/>
  <c r="C3" i="7"/>
  <c r="B3" i="7"/>
  <c r="C2" i="7"/>
  <c r="B2" i="7"/>
  <c r="C23" i="6"/>
  <c r="C22" i="6"/>
  <c r="C21" i="6"/>
  <c r="C20" i="6"/>
  <c r="C19" i="6"/>
  <c r="C18" i="6"/>
  <c r="C17" i="6"/>
  <c r="C16" i="6"/>
  <c r="C15" i="6"/>
  <c r="C14" i="6"/>
  <c r="C13" i="6"/>
  <c r="C12" i="6"/>
  <c r="C11" i="6"/>
  <c r="C10" i="6"/>
  <c r="C9" i="6"/>
  <c r="C8" i="6"/>
  <c r="C7" i="6"/>
  <c r="C6" i="6"/>
  <c r="C5" i="6"/>
  <c r="C4" i="6"/>
  <c r="C3" i="6"/>
  <c r="C2" i="6"/>
  <c r="O51" i="4"/>
  <c r="O50" i="4"/>
  <c r="O49" i="4"/>
  <c r="O48" i="4"/>
  <c r="O47" i="4"/>
  <c r="O46" i="4"/>
  <c r="O45" i="4"/>
  <c r="O44" i="4"/>
  <c r="O43" i="4"/>
  <c r="O42" i="4"/>
  <c r="O41" i="4"/>
  <c r="O40" i="4"/>
  <c r="O39" i="4"/>
  <c r="O38" i="4"/>
  <c r="O37" i="4"/>
  <c r="O36" i="4"/>
  <c r="O35" i="4"/>
  <c r="P34" i="4"/>
  <c r="O34" i="4"/>
  <c r="O33" i="4"/>
  <c r="O32" i="4"/>
  <c r="O31" i="4"/>
  <c r="O30" i="4"/>
  <c r="O29" i="4"/>
  <c r="O28" i="4"/>
  <c r="O27" i="4"/>
  <c r="O26" i="4"/>
  <c r="O25" i="4"/>
  <c r="O24" i="4"/>
  <c r="O23" i="4"/>
  <c r="P22" i="4"/>
  <c r="O22" i="4"/>
  <c r="O21" i="4"/>
  <c r="O20" i="4"/>
  <c r="O19" i="4"/>
  <c r="O18" i="4"/>
  <c r="O17" i="4"/>
  <c r="O16" i="4"/>
  <c r="O15" i="4"/>
  <c r="O14" i="4"/>
  <c r="O13" i="4"/>
  <c r="O12" i="4"/>
  <c r="O11" i="4"/>
  <c r="O10" i="4"/>
  <c r="O9" i="4"/>
  <c r="O8" i="4"/>
  <c r="O7" i="4"/>
  <c r="O6" i="4"/>
  <c r="O5" i="4"/>
  <c r="O4" i="4"/>
  <c r="O3" i="4"/>
  <c r="O2" i="4"/>
  <c r="CM50" i="2"/>
  <c r="CM49" i="2"/>
  <c r="CM48" i="2"/>
  <c r="CM47" i="2"/>
  <c r="CM46" i="2"/>
  <c r="CM45" i="2"/>
  <c r="CM44" i="2"/>
  <c r="CM43" i="2"/>
  <c r="CM42" i="2"/>
  <c r="CM41" i="2"/>
  <c r="CM40" i="2"/>
  <c r="CM39" i="2"/>
  <c r="CM38" i="2"/>
  <c r="CM36" i="2"/>
  <c r="CM35" i="2"/>
  <c r="CN34" i="2"/>
  <c r="CM34" i="2"/>
  <c r="CM33" i="2"/>
  <c r="CM32" i="2"/>
  <c r="CM31" i="2"/>
  <c r="CM30" i="2"/>
  <c r="CM29" i="2"/>
  <c r="CM28" i="2"/>
  <c r="CM27" i="2"/>
  <c r="CM26" i="2"/>
  <c r="CM24" i="2"/>
  <c r="CM23" i="2"/>
  <c r="CN22" i="2"/>
  <c r="CM22" i="2"/>
  <c r="CM21" i="2"/>
  <c r="CM20" i="2"/>
  <c r="CM19" i="2"/>
  <c r="CM18" i="2"/>
  <c r="CM17" i="2"/>
  <c r="CM16" i="2"/>
  <c r="CM15" i="2"/>
  <c r="CM14" i="2"/>
  <c r="CM13" i="2"/>
  <c r="CM12" i="2"/>
  <c r="CM11" i="2"/>
  <c r="CM10" i="2"/>
  <c r="CM9" i="2"/>
  <c r="CM8" i="2"/>
  <c r="CM7" i="2"/>
  <c r="CM6" i="2"/>
  <c r="CM5" i="2"/>
  <c r="CM4" i="2"/>
  <c r="CM3" i="2"/>
  <c r="CM2" i="2"/>
  <c r="P51" i="4" l="1"/>
  <c r="CN51" i="2" s="1"/>
  <c r="P50" i="4"/>
  <c r="CN50" i="2" s="1"/>
  <c r="P49" i="4"/>
  <c r="CN49" i="2" s="1"/>
  <c r="P48" i="4"/>
  <c r="CN48" i="2" s="1"/>
  <c r="P47" i="4"/>
  <c r="CN47" i="2" s="1"/>
  <c r="P46" i="4"/>
  <c r="CN46" i="2" s="1"/>
  <c r="P45" i="4"/>
  <c r="CN45" i="2" s="1"/>
  <c r="P44" i="4"/>
  <c r="CN44" i="2" s="1"/>
  <c r="P43" i="4"/>
  <c r="CN43" i="2" s="1"/>
  <c r="P42" i="4"/>
  <c r="CN42" i="2" s="1"/>
  <c r="P41" i="4"/>
  <c r="CN41" i="2" s="1"/>
  <c r="P40" i="4"/>
  <c r="CN40" i="2" s="1"/>
  <c r="P39" i="4"/>
  <c r="CN39" i="2" s="1"/>
  <c r="P38" i="4"/>
  <c r="CN38" i="2" s="1"/>
  <c r="P37" i="4"/>
  <c r="CN37" i="2" s="1"/>
  <c r="P36" i="4"/>
  <c r="CN36" i="2" s="1"/>
  <c r="P35" i="4"/>
  <c r="CN35" i="2" s="1"/>
  <c r="P33" i="4"/>
  <c r="CN33" i="2" s="1"/>
  <c r="P32" i="4"/>
  <c r="CN32" i="2" s="1"/>
  <c r="P31" i="4"/>
  <c r="CN31" i="2" s="1"/>
  <c r="P30" i="4"/>
  <c r="CN30" i="2" s="1"/>
  <c r="P29" i="4"/>
  <c r="CN29" i="2" s="1"/>
  <c r="P28" i="4"/>
  <c r="CN28" i="2" s="1"/>
  <c r="P27" i="4"/>
  <c r="CN27" i="2" s="1"/>
  <c r="P26" i="4"/>
  <c r="CN26" i="2" s="1"/>
  <c r="P25" i="4"/>
  <c r="CN25" i="2" s="1"/>
  <c r="P24" i="4"/>
  <c r="CN24" i="2" s="1"/>
  <c r="P23" i="4"/>
  <c r="CN23" i="2" s="1"/>
  <c r="P21" i="4"/>
  <c r="CN21" i="2" s="1"/>
  <c r="P20" i="4"/>
  <c r="CN20" i="2" s="1"/>
  <c r="P19" i="4"/>
  <c r="CN19" i="2" s="1"/>
  <c r="P18" i="4"/>
  <c r="CN18" i="2" s="1"/>
  <c r="P17" i="4"/>
  <c r="CN17" i="2" s="1"/>
  <c r="P16" i="4"/>
  <c r="CN16" i="2" s="1"/>
  <c r="P15" i="4"/>
  <c r="CN15" i="2" s="1"/>
  <c r="P14" i="4"/>
  <c r="CN14" i="2" s="1"/>
  <c r="P13" i="4"/>
  <c r="CN13" i="2" s="1"/>
  <c r="P12" i="4"/>
  <c r="CN12" i="2" s="1"/>
  <c r="P11" i="4"/>
  <c r="CN11" i="2" s="1"/>
  <c r="P3" i="4"/>
  <c r="CN3" i="2" s="1"/>
  <c r="CM51" i="2"/>
  <c r="P10" i="4"/>
  <c r="CN10" i="2" s="1"/>
  <c r="P9" i="4"/>
  <c r="CN9" i="2" s="1"/>
  <c r="P8" i="4"/>
  <c r="CN8" i="2" s="1"/>
  <c r="P7" i="4"/>
  <c r="CN7" i="2" s="1"/>
  <c r="P6" i="4"/>
  <c r="CN6" i="2" s="1"/>
  <c r="P5" i="4"/>
  <c r="CN5" i="2" s="1"/>
  <c r="P4" i="4"/>
  <c r="CN4" i="2" s="1"/>
  <c r="P2" i="4"/>
  <c r="CM37" i="2"/>
  <c r="CM25" i="2"/>
  <c r="B10" i="10" l="1"/>
  <c r="B11" i="10"/>
  <c r="B12" i="10"/>
  <c r="CN2" i="2"/>
</calcChain>
</file>

<file path=xl/sharedStrings.xml><?xml version="1.0" encoding="utf-8"?>
<sst xmlns="http://schemas.openxmlformats.org/spreadsheetml/2006/main" count="8501" uniqueCount="2741">
  <si>
    <t>Paper_ID</t>
  </si>
  <si>
    <t>File_Name</t>
  </si>
  <si>
    <t>PDF_Path_or_Link</t>
  </si>
  <si>
    <t>Extraction_Status</t>
  </si>
  <si>
    <t>Extraction_Date</t>
  </si>
  <si>
    <t>Reviewer_Check_Status</t>
  </si>
  <si>
    <t>Human_Reviewer</t>
  </si>
  <si>
    <t>Confidence_Overall_1_5</t>
  </si>
  <si>
    <t>Notes_For_Human_Check</t>
  </si>
  <si>
    <t>DOI</t>
  </si>
  <si>
    <t>Title</t>
  </si>
  <si>
    <t>Authors</t>
  </si>
  <si>
    <t>Year</t>
  </si>
  <si>
    <t>Publication_Type</t>
  </si>
  <si>
    <t>Venue_Journal_Conference</t>
  </si>
  <si>
    <t>Publisher</t>
  </si>
  <si>
    <t>Discipline_Field</t>
  </si>
  <si>
    <t>Keywords_Author_Provided</t>
  </si>
  <si>
    <t>Abstract_Short</t>
  </si>
  <si>
    <t>Inclusion_Decision</t>
  </si>
  <si>
    <t>Relevance_to_Review_1_5</t>
  </si>
  <si>
    <t>LCNC_Focus_Level</t>
  </si>
  <si>
    <t>Study_Object</t>
  </si>
  <si>
    <t>Primary_LCNC_Topic</t>
  </si>
  <si>
    <t>Secondary_Topics</t>
  </si>
  <si>
    <t>Review_Question_Link</t>
  </si>
  <si>
    <t>Why_This_Paper_Matters</t>
  </si>
  <si>
    <t>Definition_of_Low_Code</t>
  </si>
  <si>
    <t>Definition_of_No_Code</t>
  </si>
  <si>
    <t>Related_Terms_Used</t>
  </si>
  <si>
    <t>Theoretical_Framework</t>
  </si>
  <si>
    <t>Key_Constructs</t>
  </si>
  <si>
    <t>Boundary_or_Scope_Conditions</t>
  </si>
  <si>
    <t>Paper_Category</t>
  </si>
  <si>
    <t>Research_Type</t>
  </si>
  <si>
    <t>Study_Design</t>
  </si>
  <si>
    <t>Research_Method</t>
  </si>
  <si>
    <t>Data_Type</t>
  </si>
  <si>
    <t>Unit_of_Analysis</t>
  </si>
  <si>
    <t>Industry_Domain</t>
  </si>
  <si>
    <t>Application_Domain</t>
  </si>
  <si>
    <t>Target_User_Group</t>
  </si>
  <si>
    <t>Platform_or_Tool_Studied</t>
  </si>
  <si>
    <t>Technology_Stack_or_Ecosystem</t>
  </si>
  <si>
    <t>Research_Questions_or_Hypotheses</t>
  </si>
  <si>
    <t>Data_Source</t>
  </si>
  <si>
    <t>Sample_Size</t>
  </si>
  <si>
    <t>Sampling_Strategy</t>
  </si>
  <si>
    <t>Participants_Profile</t>
  </si>
  <si>
    <t>Time_Period</t>
  </si>
  <si>
    <t>Location_Context</t>
  </si>
  <si>
    <t>Instruments_Used</t>
  </si>
  <si>
    <t>Variables_or_Measures</t>
  </si>
  <si>
    <t>Analysis_Techniques</t>
  </si>
  <si>
    <t>Validity_Reliability_Checks</t>
  </si>
  <si>
    <t>Main_Findings_Detailed</t>
  </si>
  <si>
    <t>Claimed_Benefits</t>
  </si>
  <si>
    <t>Claimed_Challenges</t>
  </si>
  <si>
    <t>Security_Privacy_Findings</t>
  </si>
  <si>
    <t>Governance_Findings</t>
  </si>
  <si>
    <t>Scalability_Maintainability_Findings</t>
  </si>
  <si>
    <t>Productivity_Findings</t>
  </si>
  <si>
    <t>Quality_Findings</t>
  </si>
  <si>
    <t>Skills_Role_Findings</t>
  </si>
  <si>
    <t>Education_Training_Findings</t>
  </si>
  <si>
    <t>AI_Automation_Findings</t>
  </si>
  <si>
    <t>Economic_or_Business_Findings</t>
  </si>
  <si>
    <t>Contradictions_or_Nuances</t>
  </si>
  <si>
    <t>Authors_Interpretation</t>
  </si>
  <si>
    <t>Key_Quote_1</t>
  </si>
  <si>
    <t>Key_Quote_1_Page</t>
  </si>
  <si>
    <t>Key_Quote_2</t>
  </si>
  <si>
    <t>Key_Quote_2_Page</t>
  </si>
  <si>
    <t>Most_Important_Table_Figure</t>
  </si>
  <si>
    <t>Important_Statistics_or_Numbers</t>
  </si>
  <si>
    <t>Evidence_Strength</t>
  </si>
  <si>
    <t>Evidence_Notes</t>
  </si>
  <si>
    <t>Authors_Limitations</t>
  </si>
  <si>
    <t>Your_Critical_Limitations</t>
  </si>
  <si>
    <t>Research_Gaps_Identified</t>
  </si>
  <si>
    <t>Future_Work_Suggested</t>
  </si>
  <si>
    <t>Practical_Implications</t>
  </si>
  <si>
    <t>Theoretical_Implications</t>
  </si>
  <si>
    <t>Policy_Governance_Implications</t>
  </si>
  <si>
    <t>Theme_Code_1</t>
  </si>
  <si>
    <t>Theme_Code_2</t>
  </si>
  <si>
    <t>Theme_Code_3</t>
  </si>
  <si>
    <t>Theme_Code_4</t>
  </si>
  <si>
    <t>Method_Code</t>
  </si>
  <si>
    <t>Domain_Code</t>
  </si>
  <si>
    <t>Quality_Score_Total</t>
  </si>
  <si>
    <t>Quality_Rating</t>
  </si>
  <si>
    <t>Use_In_Final_Review</t>
  </si>
  <si>
    <t>Best_Section_For_Citation</t>
  </si>
  <si>
    <t>Suggested_Claim_This_Paper_Supports</t>
  </si>
  <si>
    <t>Contrasts_With_Papers</t>
  </si>
  <si>
    <t>Cluster_Group</t>
  </si>
  <si>
    <t>One_Sentence_Takeaway</t>
  </si>
  <si>
    <t>Agent_Uncertainty_Flags</t>
  </si>
  <si>
    <t>Citation_BibTeX</t>
  </si>
  <si>
    <t>APA_Reference</t>
  </si>
  <si>
    <t>Source_URL</t>
  </si>
  <si>
    <t>P001</t>
  </si>
  <si>
    <t>1.AI-FOR-SCIENCE LOW-CODE PLATFORM WITH.pdf</t>
  </si>
  <si>
    <t>research paper\1.AI-FOR-SCIENCE LOW-CODE PLATFORM WITH.pdf</t>
  </si>
  <si>
    <t>Completed</t>
  </si>
  <si>
    <t>2026-06-12</t>
  </si>
  <si>
    <t>Unchecked</t>
  </si>
  <si>
    <t>Not reported</t>
  </si>
  <si>
    <t>Verify automated title/authors/method/sample/theme coding and exact quote page numbers before publication use.</t>
  </si>
  <si>
    <t>AI-for-Science Low-code Platform with Bayesian Adversarial Multi-Agent Framework</t>
  </si>
  <si>
    <t>Zihang Zeng1,2#, Jiaquan Zhang1,2#, Pengze Li1, Yuan Qi1,3, Xi Chen1,3†</t>
  </si>
  <si>
    <t>2025</t>
  </si>
  <si>
    <t>Preprint</t>
  </si>
  <si>
    <t>Published as a conference paper at ICLR 2026; arXiv:2603.03233v1 [cs.AI] 3 Mar 2026; Published as a conference paper at ICLR 2026</t>
  </si>
  <si>
    <t>Unclear: discipline not explicitly labeled; paper text concerns LCNC/software systems</t>
  </si>
  <si>
    <t>Multi-agent systems leveraging Large Language Models (LLMs) show immense potential for solving complex scientific problems. However, their reliability is undermined by the probabilistic nature of LLMs, which can produce hallucinations in both generated code and its corresponding test cases. In a multi-agent architecture, these errors can propagate and compound, leading to flawed final outputs. To overcome these core limitations, we introduce a novel Bayesian Adversarial Multi-agent Framework for AI for Science (AI4S). Delivered as a Low-code Platform (LCP), our framework enhances the coding capability for scientific tasks across a wide range of base models, from 1.7B open-source LLMs to up-to-date commercial ones. Our framework employs three agents in a recursive loop that adversarially co-optimizes the generated solutions, the test cases used for evaluation, and the prompts driving generation. This process is governed by a non-LLM-based Bayesian updating rule, which systematically reduces evaluation uncertainty and mitigates the system’s dependence on any single LLM’s reliability. Furthermore, the LCP empowers domain experts by translating high-level natural language prompts into executable, domain-specific requirements, eliminating the need for intricate prompt engineering. Extensive experiments confirm that our framework generates robust solutions while effectively minimizing error propagation. On a complex, cross-disciplinary Earth Science benchmark, our platform demonstrates superior reliability and outperforms state-of-the-art models, where a 32B opensource model c...</t>
  </si>
  <si>
    <t>Include</t>
  </si>
  <si>
    <t>Core focus</t>
  </si>
  <si>
    <t>AI and automation</t>
  </si>
  <si>
    <t>Quality assurance and testing; Platform comparison; Education and training</t>
  </si>
  <si>
    <t>Supports review questions on LCNC adoption, AI automation, methods, benefits, risks, and gaps depending on assigned theme codes.</t>
  </si>
  <si>
    <t>Extensive experiments confirm that our framework generates robust solutions while effectively minimizing error propagation. | On a complex, cross-disciplinary Earth Science benchmark, our platform demonstrates superior reliability and outperforms state-of-the-art models, where a 32B opensource model can beat the performance of a 235B model in the ScienceCode benchmark with our framework. | Standard unit tests may miss critical scientific constraints, theoretical foundations, or domain-specifi...</t>
  </si>
  <si>
    <t>Published as a conference paper at ICLR 2026 AI-FOR-SCIENCELOW-CODEPLATFORM WITH BAYESIANADVERSARIALMULTI-AGENTFRAMEWORK Zihang Zeng1,2#, Jiaquan Zhang1,2#, Pengze Li1, Yuan Qi1,3, Xi Chen1,3† 1Artificial Intelligence Innovation and Incubation Institute, Fudan University 2Shanghai Innovation Institute 3Shanghai Academy of AI for Science x_chen@fudan.edu.cn ABSTRACT Multi-agent systems leveraging Large Language Models (LLMs) show immense potential for solving complex scientific problems.</t>
  </si>
  <si>
    <t>low-code</t>
  </si>
  <si>
    <t>Tool/Platform Proposal</t>
  </si>
  <si>
    <t>Technical/Engineering</t>
  </si>
  <si>
    <t>Benchmarking</t>
  </si>
  <si>
    <t>Primary Data</t>
  </si>
  <si>
    <t>Prototype/tool/platform or benchmark tasks</t>
  </si>
  <si>
    <t>scientific; AI for Science</t>
  </si>
  <si>
    <t>Furthermore, the LCP empowers domain experts by translating high-level natural language prompts into executable, domain-specific requirements, eliminating the need for intricate prompt engineering.</t>
  </si>
  <si>
    <t>On a complex, cross-disciplinary Earth Science benchmark, our platform demonstrates superior reliability and outperforms state-of-the-art models, where a 32B opensource model can beat the performance of a 235B model in the ScienceCode benchmark with our framework.</t>
  </si>
  <si>
    <t>Subsequently, the TM agent generates an initial set of test cases ( Test Case0) corresponding to these sub-tasks and other criteria derived from prior knowledge.</t>
  </si>
  <si>
    <t>On a complex, cross-disciplinary Earth Science benchmark, our platform demonstrates superior reliability and outperforms state-of-the-art models, where a 32B opensource model can beat the performance of a 235B model in the ScienceCode benchmark with our framework. | The gains are particularly striking for open-source models, with relative improvements of up to87.1%(for Qwen3-8b). | As shown in Table 2, our LCP framework achieves new state-ofthe-art (SOTA) performance, particularly in the Valid Execution Rate (VER), where it scores90.2% (without knowledge) and87.3%(with knowledge), far surpassing all other methods. | Table 1: Model Performance Comparison on SciCode with various backbone models Without Knowledge With Knowledge Without Knowledge With Knowledge Model Method Sub (%) Main (%) Sub (%) Main (%) Model Method Sub (%) Main (%) Sub (%) Main (%) Qwen3-8b Baseline 13.2 0 19.8 1.5 GPT-4o Baseline 24.1 1.5 33.7 7.7Ours24.7(87.1%) 4.6 27.4(38.4%) 4.6Ours37....</t>
  </si>
  <si>
    <t>Delivered as a Low-code Platform (LCP), our framework enhances the coding capability for scientific tasks across a wide range of base models, from 1.7B open-source LLMs to up-to-date commercial ones.</t>
  </si>
  <si>
    <t>However, their reliability is undermined by the probabilistic nature of LLMs, which can produce hallucinations in both generated code and its corresponding test cases.</t>
  </si>
  <si>
    <t>Extensive experiments confirm that our framework generates robust solutions while effectively minimizing error propagation. | On a complex, cross-disciplinary Earth Science benchmark, our platform demonstrates superior reliability and outperforms state-of-the-art models, where a 32B opensource model can beat the performance of a 235B model in the ScienceCode benchmark with our framework. | Standard unit tests may miss critical scientific constraints, theoretical foundations, or domain-specific limitations.</t>
  </si>
  <si>
    <t>This process is governed by a non-LLM-based Bayesian updating rule, which systematically reduces evaluation uncertainty and mitigates the system’s dependence on any single LLM’s reliability. | Furthermore, the LCP empowers domain experts by translating high-level natural language prompts into executable, domain-specific requirements, eliminating the need for intricate prompt engineering.</t>
  </si>
  <si>
    <t>Published as a conference paper at ICLR 2026 AI-FOR-SCIENCELOW-CODEPLATFORM WITH BAYESIANADVERSARIALMULTI-AGENTFRAMEWORK Zihang Zeng1,2#, Jiaquan Zhang1,2#, Pengze Li1, Yuan Qi1,3, Xi Chen1,3† 1Artificial Intelligence Innovation and Incubation Institute, Fudan University 2Shanghai Innovation Institute 3Shanghai Academy of AI for Science x_chen@fudan.edu.cn ABSTRACT Multi-agent systems leveraging Large Language Models (LLMs) show immense potent... | However, their reliability is undermined by the probabilistic nature of LLMs, which can produce hallucinations in both generated code and its corresponding test cases.</t>
  </si>
  <si>
    <t>This plan is iteratively refined based on users’ feedback F and refinements until user’s approval and denoted as Plans, as indicated by Loop 1 of Figure 2.</t>
  </si>
  <si>
    <t>On a complex, cross-disciplinary Earth Science benchmark, our platform demonstrates superior reliability and outperforms state-of-the-art models, where a 32B opensource model can beat the performance of a 235B model in the ScienceCode benchmark with our framework. | This fundamental insight motivates our core design philosophy: an adversarial co-evolution framework where test case generation and code improvement mutually refine each other through competitive optimization, replacing traditional static verification approaches.</t>
  </si>
  <si>
    <t>2.3 A PRIORI ESTIMATION WITHBAYESIANOPTIMIZATION We noticed that executing all the generated codes for testing can be computationally expensive.</t>
  </si>
  <si>
    <t>It maintains accessibility for non-technical domain experts while fully leveraging their domain expertise without requiring any computer science or professional prompt engineering skills.</t>
  </si>
  <si>
    <t>Furthermore, evaluating the generated machine learning or deep learning models can be highly resource-intensive, and performance variability due to training dynamics and data poses an additional challenge to the update mechanism.</t>
  </si>
  <si>
    <t>This suggests an optimal balance between performance and computational cost.</t>
  </si>
  <si>
    <t>Strong</t>
  </si>
  <si>
    <t>PDF text extracted from 38 pages; sample evidence page: Not reported.</t>
  </si>
  <si>
    <t>, we introduce a novel Bayesian Adversarial Multi-agent Framework for AI for Science (AI4S). Delivered as a Low-code Platform (LCP), our framework enhances the coding capability for scientific tasks across a wide range of base models, from 1.7B open-source LLMs to up-to-date commercial ones. Our framework employs three agents in a recursive loop that adversarially co-optimizes the generated solutions, the test cases used for evaluation, and the prompts driving generation. This process is governed by a non-LLM-based Bayesian updating rule, which systematically reduces evaluation uncertainty and mitigates the system’s dependence on any single LLM’s reliability. Furthermore, the LCP empowers domain experts by translating high-level natural language prompts into executable, domain-specific requirements, eliminating the need for intricate prompt engineering. Extensive experiments confirm that our framework generates robust solutions while effectively minimizing error propagation. On a complex, cross-disciplinary Earth Science benchmark, our platform demonstrates superior reliability and outperforms state-of-the-art models, where a 32B opensource model can beat the performance of a 235B model in the ScienceCode benchmark with our framework. 1 INTRODUCTION Large Language Models (LLMs) are transforming AI for Science (AI4S) research paradigm by automating complex scientific code gen...</t>
  </si>
  <si>
    <t>Sample/data adequacy could not be verified from parsed text</t>
  </si>
  <si>
    <t>will focus on extending the Bayesian updates to handle multi-modal inputs, such as equations and diagrams, and optimizing the iteration protocols for large-scale scientific simulations.</t>
  </si>
  <si>
    <t>While this increased token budget can be a practical constraint for long pipelines, in reliability-critical scientific applications, we prioritize executable correctness and robustness over marginal token savings.</t>
  </si>
  <si>
    <t>AI_AUTOMATION</t>
  </si>
  <si>
    <t>QUALITY_TESTING</t>
  </si>
  <si>
    <t>PLATFORM_COMPARISON</t>
  </si>
  <si>
    <t>EDUCATION</t>
  </si>
  <si>
    <t>Yes - central</t>
  </si>
  <si>
    <t>Findings/Future</t>
  </si>
  <si>
    <t>sample/data size missing</t>
  </si>
  <si>
    <t>Zihang Zeng1,2#, Jiaquan Zhang1,2#, Pengze Li1, Yuan Qi1,3, Xi Chen1,3† (2025). AI-for-Science Low-code Platform with Bayesian Adversarial Multi-Agent Framework. Published as a conference paper at ICLR 2026; arXiv:2603.03233v1 [cs.AI] 3 Mar 2026; Published as a conference paper at ICLR 2026.</t>
  </si>
  <si>
    <t>P002</t>
  </si>
  <si>
    <t>2.LOW-CODE AND NO-CODE WITH BESSER TO CREATE AND.pdf</t>
  </si>
  <si>
    <t>research paper\2.LOW-CODE AND NO-CODE WITH BESSER TO CREATE AND.pdf</t>
  </si>
  <si>
    <t>Low-code and no-code with BESSER to create and deploy smart web applications</t>
  </si>
  <si>
    <t>arXiv:2605.07376v1 [cs.SE] 8 May 2026</t>
  </si>
  <si>
    <t>The peer-reviewed paper will be published in the proceedings of ICWE 2026.; arXiv:2605.07376v1 [cs.SE] 8 May 2026</t>
  </si>
  <si>
    <t>Low-code·No-code·Web application·Agents 1</t>
  </si>
  <si>
    <t>The increasing demand for web applications containing AI-agents, seen as smart web applications, has prompted the need for new techniques to facilitate their creation. Low-code has risen as an approach that reduces the amount of handwritten code by focusing on the abstraction of components in the form of models combined with automated generators to produce applications. Existing low-code platforms are commercial, leading to drawbacks such as the risk of vendor lock-in, limited extensibility, and more. We present the open-source BESSER low-code framework, which allows users to design, generate and deploy their application via a freely accessible web-based editor, while guaranteeing transparency and extensibility. KeywordsLow-code·No-code·Web application·Agents</t>
  </si>
  <si>
    <t>Model-driven / visual programming roots</t>
  </si>
  <si>
    <t>AI and automation; Maintainability; Platform comparison</t>
  </si>
  <si>
    <t>Languages such as IFML [2], OOWS [3], or UWE [4] are often seen as foundational for the development of traditional UIs. | 2 Demonstration Figure 1 presents the part of BESSER’s pipeline for developing smart web applications used in the demonstration. | The demonstration contains the example of a web application of a library, with a conversational agent responding to frequently asked questions.</t>
  </si>
  <si>
    <t>Existing low-code platforms are commercial, leading to drawbacks such as the risk of vendor lock-in, limited extensibility, and more.</t>
  </si>
  <si>
    <t>From theGUIperspective, the editor provides a no-code interface that allows users to drag and drop UI components onto a blank page (Figure 2), which are immediately rendered.</t>
  </si>
  <si>
    <t>low-code; no-code; model-driven engineering</t>
  </si>
  <si>
    <t>We present the open-source BESSER low-code framework, which allows users to design, generate and deploy their application via a freely accessible web-based editor, while guaranteeing transparency and extensibility.</t>
  </si>
  <si>
    <t>Empirical Study</t>
  </si>
  <si>
    <t>Qualitative</t>
  </si>
  <si>
    <t>Document Analysis</t>
  </si>
  <si>
    <t>Secondary Data</t>
  </si>
  <si>
    <t>BESSER</t>
  </si>
  <si>
    <t>The only additional requirement to complete the demo is a free account on GitHub 2 and Render3, the former being used for hosting the models and generated code, and the latter for running frontend and backend servers.</t>
  </si>
  <si>
    <t>Thestructuralperspective specifies the static aspects of the web application through class diagrams, including classes, attributes, methods, relationships, and other elements, reusing core UML [ 6] concepts for this perspective while extending and simplifying selected aspects of the specification for smart web applications.</t>
  </si>
  <si>
    <t>Yet, these do not cover the definition of smart components, and provide limited or fragmented tool support for the complete creation and deployment pipeline.</t>
  </si>
  <si>
    <t>A video demonstration of the presented scenario is available4 3 Modeling, generating and deploying smart web applications with BESSER BESSER provides the B-UML (BESSER-UML) language, which enables the modeling of smart web applications via three complementary but still interrelated perspectives:structural,agent, andGUIperspectives.</t>
  </si>
  <si>
    <t>Low-code has risen as an approach that reduces the amount of handwritten code by focusing on the abstraction of components in the form of models combined with automated generators to produce applications. | KeywordsLow-code·No-code·Web application·Agents 1 Introduction The increasing demand for better software in recent years has created a need for advanced strategies to improve developer productivity.</t>
  </si>
  <si>
    <t>Existing low-code platforms are commercial, leading to drawbacks such as the risk of vendor lock-in, limited extensibility, and more. | Low-code development, the latest reincarnation of model-driven engineering approaches, addresses this demand but introduces challenges related to the growing complexity of modern software requirements, such as AI-powered agents.</t>
  </si>
  <si>
    <t>These actions may include textual responses (e.g., for chat interactions), calls to Python methods (e.g., to invoke external APIs), or operations driven by Large Language Model (LLM) outputs, combining the controlled output from state machines with the openness of LLMs.</t>
  </si>
  <si>
    <t>KeywordsLow-code·No-code·Web application·Agents 1 Introduction The increasing demand for better software in recent years has created a need for advanced strategies to improve developer productivity.</t>
  </si>
  <si>
    <t>The reference will be provided once available. arXiv:2605.07376v1 [cs.SE] 8 May 2026</t>
  </si>
  <si>
    <t>Low-code development, the latest reincarnation of model-driven engineering approaches, addresses this demand but introduces challenges related to the growing complexity of modern software requirements, such as AI-powered agents.</t>
  </si>
  <si>
    <t>LOW-CODE AND NO-CODE WITHBESSERTO CREATE AND DEPLOY SMART WEB APPLICATIONS Iván Alfonso Luxembourg Institute of Science and Technology, Luxembourg ivan.alfonso@list.lu Armen Sulejmani Luxembourg Institute of Science and Technology, Luxembourg armen.sulejmani@list.lu Aaron Conrardy Luxembourg Institute of Science and Technology, Luxembourg University of Luxembourg, Luxembourg aaron.conrardy@list.lu Jordi Cabot Luxembourg Institute of Science and Technology, Luxembourg University of Luxembourg, Luxembourg jordi.cabot@list.lu ABSTRACT The increasing demand for web applications containing AI-agents, seen as smart web applications, has prompted the need for new techniques to facilitate their creation.</t>
  </si>
  <si>
    <t>Moderate</t>
  </si>
  <si>
    <t>PDF text extracted from 5 pages; sample evidence page: Not reported.</t>
  </si>
  <si>
    <t>Sample/data adequacy could not be verified from parsed text; No explicit author limitations section found in parsed text</t>
  </si>
  <si>
    <t>MDE_VISUAL_PROGRAMMING</t>
  </si>
  <si>
    <t>MAINTAINABILITY</t>
  </si>
  <si>
    <t>Background</t>
  </si>
  <si>
    <t>sample/data size missing; limitations not found</t>
  </si>
  <si>
    <t>arXiv:2605.07376v1 [cs.SE] 8 May 2026 (2025). Low-code and no-code with BESSER to create and deploy smart web applications. The peer-reviewed paper will be published in the proceedings of ICWE 2026.; arXiv:2605.07376v1 [cs.SE] 8 May 2026.</t>
  </si>
  <si>
    <t>P003</t>
  </si>
  <si>
    <t>3.Design Behaviour and Interface Consistency in Generative No-Code Tools A Systematic Literature Review.pdf</t>
  </si>
  <si>
    <t>research paper\3.Design Behaviour and Interface Consistency in Generative No-Code Tools A Systematic Literature Review.pdf</t>
  </si>
  <si>
    <t>10.3390/computers15040238</t>
  </si>
  <si>
    <t>Design Behaviour and Interface Consistency in Generative No-Code Tools: A Systematic Literature Review</t>
  </si>
  <si>
    <t>No-Code Tools: A Systematic Literature Review; Gizem Irmak 1,2, * and Qusay H. Mahmoud 1</t>
  </si>
  <si>
    <t>2021</t>
  </si>
  <si>
    <t>Review Paper</t>
  </si>
  <si>
    <t>Licensee MDPI, Basel, Switzerland.</t>
  </si>
  <si>
    <t>MDPI</t>
  </si>
  <si>
    <t>generative AI; no-code tools; user interface design; reproducibility; usability; accessibility; ethics 1.</t>
  </si>
  <si>
    <t>Generative no-code development tools enable users to create applications directly from natural-language prompts, shifting interface design from manual construction to AImediated generation. However, identical prompts frequently produce substantially different user interface (UI) outcomes across tools and even across repeated executions within the same tool. This paper presents a systematic literature review examining how generative no-code systems make design and aesthetic decisions with respect to layout structure, visual consistency, usability, accessibility, and reproducibility. Twenty peer-reviewed studies (2021-2025) were analyzed following a structured review protocol. Existing research predominantly evaluates usability and accessibility in isolation while providing limited insight into aesthetic coherence, design variability, and prompt-to-output stability. Across studies, generative tools exhibit implicit design priors and stochastic behavior that lead to inconsistent visual outcomes and partial misalignment with human-centered design principles. These findings indicate that generative no-code tools do not act as deterministic translators of user intent but instead introduce their own stylistic tendencies. The paper identifies critical evaluation gaps and outlines requirements for future systems, including reproducible generation, transparent design reasoning, and user-directed control, to support reliable and predictable interface development.</t>
  </si>
  <si>
    <t>Platform comparison; Usability and user experience; Enterprise adoption</t>
  </si>
  <si>
    <t>These findings indicate that generative no-code tools do not act as deterministic translators of user intent but instead introduce their own stylistic tendencies. | Study Year Methodology and Focus Key Findings and Limitations Zhou T. [15] 2025 Design-to-code pipeline using computer vision and multimodal LLMs to generate UI code from mockups and screenshots. | Study Year Methodology and Focus Key Findings and Limitations Wan Y. [17] 2025 Divide-and-conquer UI generation pipeline using multimo...</t>
  </si>
  <si>
    <t>Introduction Low-code/no-code (LCNC) platforms have transformed software development by offering visual environments and pre-built components that require minimal or no programming knowledge.</t>
  </si>
  <si>
    <t>Mahmoud 1 1 Department of Electrical, Computer, and Software Engineering, Ontario Tech University, Oshawa, ON L1G 0C5, Canada; qusay.mahmoud@ontariotechu.ca 2 Department of Control and Computer Engineering, Politecnico di Torino, 10129 Torino, Italy * Correspondence: gizem.irmak@studenti.polito.it Abstract Generative no-code development tools enable users to create applications directly from natural-language prompts, shifting interface design from manual construction to AImediated generation.</t>
  </si>
  <si>
    <t>low-code; no-code; LCNC; citizen development; visual programming</t>
  </si>
  <si>
    <t>Study Year Methodology and Focus Key Findings and Limitations Xu H. [29] 2025 Knowledge-augmented framework using visual prompting and retrieval-augmented generation to convert UI wireframes into React applications.</t>
  </si>
  <si>
    <t>Literature Review</t>
  </si>
  <si>
    <t>Review</t>
  </si>
  <si>
    <t>Systematic Review</t>
  </si>
  <si>
    <t>Published studies/articles</t>
  </si>
  <si>
    <t>education</t>
  </si>
  <si>
    <t>Mahmoud 1 1 Department of Electrical, Computer, and Software Engineering, Ontario Tech University, Oshawa, ON L1G 0C5, Canada; qusay.mahmoud@ontariotechu.ca 2 Department of Control and Computer Engineering, Politecnico di Torino, 10129 Torino, Italy * Correspondence: gizem.irmak@studenti.polito.it Abstract Generative no-code development tools enable users to create applications directly from natural-language prompts, shifting interface design...</t>
  </si>
  <si>
    <t>AutoGen Studio; ChatGPT</t>
  </si>
  <si>
    <t>Research Questions This study was guided by one main research question (MRQ) and four supporting sub-questions designed to examine how generative AI-based no-code tools make UI design decisions, how consistent these decisions are, and how well they align with established design principles. • MRQ: How do generative AI-based no-code tools make user interface (UI) design and aesthetic decisions when generating applications from natural-language p... | The protocol defined the research questions, search strategy, eligibility criteria, quality assessment, and data extraction procedures before the search was conducted. | UI Quality Dimension Number of Studies ( n = 20) Layout &amp; Structure 10 Aesthetics &amp; Visual Design 5 Usability &amp; Learnability 5 Accessibility 4 Consistency &amp; Variability 7 Individual studies may contribute to multiple research questions, reflecting the multifaceted nature of generative UI design and evaluation.</t>
  </si>
  <si>
    <t>Duan P . [19] 2024 Introduces UICrit dataset with expert UI critiques and applies visually guided few-shot prompting for design feedback generation.</t>
  </si>
  <si>
    <t>Frequency of UI quality dimensions assessed across included studies (n = 20).</t>
  </si>
  <si>
    <t>In user interface (UI) development, Multimodal Large Language Models (MLLMs) can translate sketches, screenshots, or natural-language descriptions directly into functional code (UI2Code) [5].</t>
  </si>
  <si>
    <t>Database Search Strings Used Total Retrieved Records After Initial Screening IEEE Xplore No-code/low-code AND generative AI/LLM AND UI design 54 44 ACM Digital Library No-code/low-code AND user experience/UI design 60 27 Google Scholar No-code UI design AND evaluation/prompt-based tools 30 18 Searches were restricted to peer-reviewed publication...</t>
  </si>
  <si>
    <t>Systematic Review Design Behaviour and Interface Consistency in Generative No-Code Tools: A Systematic Literature Review Gizem Irmak 1,2, * and Qusay H.</t>
  </si>
  <si>
    <t>Adoption is expected to continue growing, with projections indicating use in nearly 70% of enterprise applications by 2025 [3] and approximately 65% of software projects overall [4]. | Computers 2026, 15, 238 2 of 25 models to generate new content and automate development tasks, enhancing LCNC environments by supporting ideation, prototyping, and feature refinement [1]. | Pinho D. [42] 2023 Systematic literature review of 38 studies on usability in low-code platforms. | P . [4] 2024 Systematic literature review of 15 studies on low-code development features, benefits, and challenges.</t>
  </si>
  <si>
    <t>Existing research predominantly evaluates usability and accessibility in isolation while providing limited insight into aesthetic coherence, design variability, and prompt-to-output stability.</t>
  </si>
  <si>
    <t>Section 7 outlines threats to validity, and Section 8 concludes the paper.</t>
  </si>
  <si>
    <t>These findings indicate that generative no-code tools do not act as deterministic translators of user intent but instead introduce their own stylistic tendencies. | Study Year Methodology and Focus Key Findings and Limitations Zhou T. [15] 2025 Design-to-code pipeline using computer vision and multimodal LLMs to generate UI code from mockups and screenshots. | Study Year Methodology and Focus Key Findings and Limitations Wan Y. [17] 2025 Divide-and-conquer UI generation pipeline using multimodal LLMs to decompose screenshots and generate HTML/CSS.</t>
  </si>
  <si>
    <t>LCNC solutions are widely adopted because they accelerate development, reduce labor costs, and improve agility, thereby addressing traditional challenges such as delayed delivery and high implementation effort [2]. | While these systems improve development efficiency and accessibility, they also introduce constraints related to scalability, customization, and control, which become particularly relevant in the context of AI-driven interface generation [12].</t>
  </si>
  <si>
    <t>However, identical prompts frequently produce substantially different user interface (UI) outcomes across tools and even across repeated executions within the same tool. | LCNC solutions are widely adopted because they accelerate development, reduce labor costs, and improve agility, thereby addressing traditional challenges such as delayed delivery and high implementation effort [2].</t>
  </si>
  <si>
    <t>Identifies governance risks and mitigation strategies; does not address user-facing UI design or generative interface behavior.</t>
  </si>
  <si>
    <t>While these systems improve development efficiency and accessibility, they also introduce constraints related to scalability, customization, and control, which become particularly relevant in the context of AI-driven interface generation [12]. | A. [10], Feng S. [49] Interaction logic Static layout generation Incomplete navigation and cross-page coherence Zhou T. [15] Code usability Structured output in advanced systems Manual effort required for maintainability Zhou T. [15], Wan Y. [17] 5.4.</t>
  </si>
  <si>
    <t>Both approaches abstract implementation details through graphical development environments, enabling faster application creation while reducing reliance on traditional programming.</t>
  </si>
  <si>
    <t>Because large language models operate probabilistically, identical prompts may produce different outputs, complicating testing and reproducibility [ 9].</t>
  </si>
  <si>
    <t>Highlights human-AI collaboration in UI design; limited to prototype-level evaluation without analysis of reproducibility or cross-tool variability.</t>
  </si>
  <si>
    <t>Highlights workflow trade-offs and educational implications; limited evaluation of detailed UI design and generative variability.</t>
  </si>
  <si>
    <t>The integration of LCNC platforms with Generative Artificial Intelligence (GenAI) represents a further shift in software creation workflows.</t>
  </si>
  <si>
    <t>This accessibility has contributed to the “democratization” of software creation, enabling non-technical professionals, often referred to as citizen developers, to construct applications quickly and cost-effectively [1].</t>
  </si>
  <si>
    <t>However, identical prompts frequently produce substantially different user interface (UI) outcomes across tools and even across repeated executions within the same tool.</t>
  </si>
  <si>
    <t>Guthardt T. [40] 2024 Empirical comparison of programmers and citizen developers using a prototype no-code builder.</t>
  </si>
  <si>
    <t>PDF text extracted from 25 pages; sample evidence page: p. 12.</t>
  </si>
  <si>
    <t>inherent to LCNC platforms, such as scalability constraints, hidden platform bugs, and accumulated technical debt, can propagate into generated applications and further reduce reliability [3,22]. 3. Related Work Generative no-code UI research spans three primary directions: platform-oriented studies on low-code/no-code ecosystems, empirical evaluations of AI-generated interfaces, and accessibility or usability assessments. While these works (see Table 2) provide valuable insights into productivity and compliance, they rarely examine design consistency, aesthetic reasoning, or reproducibility across generated interfaces. Consequently, existing literature offers fragmented perspectives on UI quality rather than an integrated understanding of automated design behavior. Table 2. Key related studies on generative no-code and AI-assisted UI design. Study Year Methodology and Focus Key Findings and Limitations Zhou T. [15] 2025 Design-to-code pipeline using computer vision and multimodal LLMs to generate UI code from mockups and screenshots. Structural accuracy; lacks user-centered evaluation. https://doi.org/10.3390/computers15040238 Computers 2026, 15, 238 5 of 25 Table 2. Cont. Study Year Methodology and Focus Key Findings and Limitations Wan Y. [17] 2025 Divide-and-conquer UI generation pipeline using multimodal LLMs to decompose screenshots and generate HTML/CSS. Focus on fide...</t>
  </si>
  <si>
    <t>Automated extraction should be checked against the PDF for high-impact fields</t>
  </si>
  <si>
    <t>should investigate: • how users form mental models of generative behavior • how interfaces communicate degrees of confidence or stability • how users constrain exploration without over-specifying solutions • how iterative refinement affects trust and perceived control In this context, prompting functions as an ongoing negotiation process. Interfaces that expose alternatives, preserve state across iterations, and communicate change boundaries may improve user confidence and reduce corrective interaction cycles. 6.6. Implications for Software Engineering Research Generative interface development alters the nature of software artifacts from fixed implementations to variable outputs produced by a generation process. As a result, engineering practices must evaluate reliability of the process rather than correctness of a single instance. Quality assurance therefore shifts toward: https://doi.org/10.3390/computers15040238 Computers 2026, 15, 238 21 of 25 • managing prompt and model configu...</t>
  </si>
  <si>
    <t>Rather than redefining their general characteristics, this section focuses on their role within contemporary software ecosystems and their implications for automated interface generation.</t>
  </si>
  <si>
    <t>USABILITY_UX</t>
  </si>
  <si>
    <t>ENTERPRISE_ADOPTION</t>
  </si>
  <si>
    <t>None beyond normal human verification of automated extraction</t>
  </si>
  <si>
    <t>No-Code Tools: A Systematic Literature Review; Gizem Irmak 1,2, * and Qusay H. Mahmoud 1 (2021). Design Behaviour and Interface Consistency in Generative No-Code Tools: A Systematic Literature Review. Licensee MDPI, Basel, Switzerland..</t>
  </si>
  <si>
    <t>https://doi.org/10.3390/computers15040238</t>
  </si>
  <si>
    <t>P004</t>
  </si>
  <si>
    <t>4.LLM4FaaS No-Code Application Development using LLMs.pdf</t>
  </si>
  <si>
    <t>research paper\4.LLM4FaaS No-Code Application Development using LLMs.pdf</t>
  </si>
  <si>
    <t>10.1145/3773274.3774686</t>
  </si>
  <si>
    <t>LLM4FaaS: No-Code Application Development using LLMs and FaaS</t>
  </si>
  <si>
    <t>Minghe Wang; Tobias Pfandzelter; Trever Schirmer</t>
  </si>
  <si>
    <t>ACM Reference Format:; for redistribution. The definitive Version of Record was published in2025 IEEE/ACM; 18th International Conference on Utility and Cloud Computing (UCC ’25), December 1-4,</t>
  </si>
  <si>
    <t>IEEE</t>
  </si>
  <si>
    <t>Large Language Models, Function-as-a-Service, No-Code Development ACM Reference Format: Minghe Wang, Tobias Pfandzelter, Trever Schirmer, and David Bermbach. 2025. LLM4FaaS: No-Code Application Development using LLMs and FaaS. UCC ’25, December 1-4, 2025, Nantes, France ©2025 Copyright held by the owner/author(s). This is the author’s version of th</t>
  </si>
  <si>
    <t>Large language models (LLMs) show great capabilities in generating code from natural language descriptions, bringing programming power closer to non-technical users. However, their lack of expertise in operating the generated code remains a key barrier to realizing customized applications. Function-as-a-Service (FaaS) platforms offer a high level of abstraction for code execution and deployment, allowing users to run LLM-generated code without requiring technical expertise or incurring operational overhead. In this paper, we present LLM4FaaS, a no-code application development approach that integrates LLMs and FaaS platforms to enable non-technical users to build and run customized applications using only natural language. By deploying LLM-generated code through FaaS, LLM4FaaS abstracts away infrastructure management and boilerplate code generation. We implement a proof-of-concept prototype based on an open-source FaaS platform, and evaluate it using real prompts from non-technical users. Experiments withGPT-4o show that LLM4FaaS can automatically build and deploy code in 71.47% of cases, outperforming a non-FaaS baseline at 43.48% and an existing LLM-based platform at 14.55%, narrowing the gap to human performance at 88.99%. Further analysis of code quality, programming language diversity, latency, and consistency demonstrates a balanced performance in terms of efficiency, maintainability and availability. CCS Concepts •Computing methodologies → Natural language processing;•Computer systems organization → Cloud computing;• Human-centered computing→User centered design.</t>
  </si>
  <si>
    <t>Platform comparison; Quality assurance and testing; Enterprise adoption</t>
  </si>
  <si>
    <t>Experiments withGPT-4o show that LLM4FaaS can automatically build and deploy code in 71.47% of cases, outperforming a non-FaaS baseline at 43.48% and an existing LLM-based platform at 14.55%, narrowing the gap to human performance at 88.99%. | Further analysis of code quality, programming language diversity, latency, and consistency demonstrates a balanced performance in terms of efficiency, maintainability and availability. | With a 71.47% semantic and 87.55% syntax pass rate, LLM4FaaS demon...</t>
  </si>
  <si>
    <t>For example, Liu et al. [20] empirically compare LLM-based and traditional low-code development by analyzing Stack Overflow discussions, showing that LLM assistance enables a broader range of automation scenarios.</t>
  </si>
  <si>
    <t>In this paper, we present LLM4FaaS, a no-code application development approach that integrates LLMs and FaaS platforms to enable non-technical users to build and run customized applications using only natural language.</t>
  </si>
  <si>
    <t>low-code; no-code; zero-code</t>
  </si>
  <si>
    <t>Prototype Evaluation</t>
  </si>
  <si>
    <t>IoT</t>
  </si>
  <si>
    <t>LLM4FaaS: No-Code Application Development using LLMs and FaaS Minghe Wang TU Berlin Berlin, Germany mw@3s.tu-berlin.de Tobias Pfandzelter TU Berlin Berlin, Germany tp@3s.tu-berlin.de Trever Schirmer TU Berlin Berlin, Germany ts@3s.tu-berlin.de David Bermbach TU Berlin Berlin, Germany db@3s.tu-berlin.de Abstract Large language models (LLMs) show great capabilities in generating code from natural language descriptions, bringing programming power...</t>
  </si>
  <si>
    <t>LLM4FaaS</t>
  </si>
  <si>
    <t>We make all artifacts and dataset used to produce this paper available publicly.</t>
  </si>
  <si>
    <t>4.2.1 Dataset.We collect the dataset through a questionnaire completed by 26 users without prior programming experience.</t>
  </si>
  <si>
    <t>As both metrics quantify proportions of cases meeting the respective pass criteria, we omit error bars from the figures.</t>
  </si>
  <si>
    <t>LLMs excel in a wide range of natural language tasks, including text generation, translation, and code-related activities, e.g., generation, modification, and verification, making them valuable tools for software engineering [3, 14, 19, 24, 31, 34, 37].</t>
  </si>
  <si>
    <t>Experiments withGPT-4o show that LLM4FaaS can automatically build and deploy code in 71.47% of cases, outperforming a non-FaaS baseline at 43.48% and an existing LLM-based platform at 14.55%, narrowing the gap to human performance at 88.99%. | With a 71.47% semantic and 87.55% syntax pass rate, LLM4FaaS demonstrates promising feasibility and consistent performance in our evaluation. | In the questionnaire, we ask users to describe in natural language how they would instruct a smart home system to automate 4 tasks with increasing complexity. | The average syntactic pass rate for human developers, LLM4FaaS and the baseline are 96.53%, 87.55%, and 88.42%, respectively, while Open Interpreter achieves 31.69%.</t>
  </si>
  <si>
    <t>We implement a proof-of-concept prototype based on an open-source FaaS platform, and evaluate it using real prompts from non-technical users.</t>
  </si>
  <si>
    <t>Experimental results show that LLM4FaaS achieves high reliability, efficiency and availability while maintaining competitive code quality, making it a viable solution for non-technical users to develop and run tailored applications without requiring any technical expertise.</t>
  </si>
  <si>
    <t>Experiments withGPT-4o show that LLM4FaaS can automatically build and deploy code in 71.47% of cases, outperforming a non-FaaS baseline at 43.48% and an existing LLM-based platform at 14.55%, narrowing the gap to human performance at 88.99%. | Further analysis of code quality, programming language diversity, latency, and consistency demonstrates a balanced performance in terms of efficiency, maintainability and availability. | With a 71.47% semantic and 87.55% syntax pass rate, LLM4FaaS demonstrates promising feasibility and consistent performance in our evaluation.</t>
  </si>
  <si>
    <t>For this, we present LLM4FaaS, a no-code application development approach for non-technical end-users, leveraging (i) the natural language processing capabilities of LLMs to transform user requirements into code snippets and (ii) FaaS abstractions to streamline code generation, accelerating and simplifying the application development process. | These features support real-time responsiveness to changing workloads, accelerate development, reduce time-to-market, and facilitate rapid iteration on key functionality.</t>
  </si>
  <si>
    <t>However, their lack of expertise in operating the generated code remains a key barrier to realizing customized applications. | However, while nontechnical users can use LLMs to generate code for their desired functionality, they typically lack the expertise to properly deploy and run the generated code.</t>
  </si>
  <si>
    <t>However, given the latency concern and the rate limit errors observed in the Open Interpreter experiment, the feedback loops may inherently introduce throughput bottlenecks due to rate limit policies of LLM services.</t>
  </si>
  <si>
    <t>We believe that the Functionas-a-Service (FaaS) paradigm and its no-ops principle can help: FaaS platforms offer a scalable, event-driven, and fine-grained infrastructure abstraction [2, 9, 11, 18, 21, 22, 26, 28, 33, 35, 36]. | Further analysis of code quality, programming language diversity, latency, and consistency demonstrates a balanced performance in terms of efficiency, maintainability and availability.</t>
  </si>
  <si>
    <t>These features support real-time responsiveness to changing workloads, accelerate development, reduce time-to-market, and facilitate rapid iteration on key functionality.</t>
  </si>
  <si>
    <t>Although the advanced natural language interpretation ability of LLMs is a promising avenue for the involvement of individuals without programming skills in software development [3, 6, 29], operational concerns remain a considerable barrier.</t>
  </si>
  <si>
    <t>2.1 LLMs in Software Engineering LLMs are deep learning models trained on extensive text corpora to understand, generate, and manipulate human language.</t>
  </si>
  <si>
    <t>However, their lack of expertise in operating the generated code remains a key barrier to realizing customized applications.</t>
  </si>
  <si>
    <t>Users can interact with the deployed function through predefined interfaces, while the FaaS platform manages execution, scaling, and resource allocation.</t>
  </si>
  <si>
    <t>2.3 Related Work Prior work has integrated LLMs into low-code environments to support human-AI collaboration.</t>
  </si>
  <si>
    <t>LLM4FaaS: No-Code Application Development using LLMs and FaaS UCC ’25, December 1-4, 2025, Nantes, France Experiment Pylint Score (avg±std) CC (avg±std) MI (avg±std) HALS Effort (median) Baseline3.18±2.34 8.51±6.99 75.13±7.6775.31 Human Developer8.30±1.38 7.06±4.6655.63±15.00272.32 LLM4FaaS6.13±1.85 9.43±7.4278.34±11.8584.26 Open Interpreter7.25±2.06 6.62±6.58 79.73±12.50 24.73 Table 1: Comparison of Code Quality Metrics across Experiments: The table reports the average (avg) and standard deviation (std) of Pylint scores, Cyclomatic Complexity (CC), Maintainability Index (MI), and the median HALS Effort.</t>
  </si>
  <si>
    <t>PDF text extracted from 8 pages; sample evidence page: p. 3.</t>
  </si>
  <si>
    <t>. 4.4.1 Impact of FaaS.Results from the baseline and Open Interpreter experiments indicate that leveraging FaaS in LLM4FaaS effectively preserves the syntactic correctness of LLM-generated code. Moreover, the reduced complexity from FaaS programming model allows the LLM to focus on understanding and implementing user intentions rather than boilerplate code for operational concerns, leading to a significantly higher semantic pass rate. 4.4.2 Task Complexity.Our results show that task complexity impacts the semantic pass rate of LLM4FaaS. We consider two possible causes: First, the increased task complexity presents challenges for LLMs, posing more opportunity for failure. Second, increased complexity can also be challenging for users, particularly those with less experience, who must understand and articulate more complex LLM4FaaS: No-Code Application Development using LLMs and FaaS UCC ’25, December 1-4, 2025, Nantes, France Easy Medium Advanced Complex Automation Tasks 0 25 50 75 100 Syntactic Repeat Pass Rate (%) User1 User2 User3 (a) Syntactic repeat pass rate Easy Medium Advanced Complex Automation Tasks 0 25 50 75 100 Semantic Repeat Pass Rate (%) User1 User2 User3 (b) Semantic repeat pass rate Figure 5: Pass rates of ten repetitions of LLM4FaaS with three user answers. Syntactic pass remains stable between repeat LLM invocations (nine or ten of ten correct). For the co...</t>
  </si>
  <si>
    <t>on prompting strategies could help LLM4FaaS better handle complex, multi-intent tasks. 4.4.3 Model Selection.We choose GPT-4o as the primary LLM for LLM4FaaS due to its advanced capabilities and strong performance in non-English languages [ 13]. LLM4FaaS exhibits practical performance with GPT-4o, even when handling more complex tasks. Nevertheless, advances in LLMs will likely improve the performance of LLM4FaaS. In future work, we plan to further evaluate our approach with different LLMs, including models specifically trained for software development. 4.4.4 Size of the User Group.In this paper, our evaluation is based on answers from 26 non-technical users. While it would have been desirable to work with a larger user group for our experiments, this was not feasible due to the resulting effort in acquiring additional users and handling their answers which both required significant manual effort. Nevertheless, we believe that our experiments reliably demonstrate the effectiveness o...</t>
  </si>
  <si>
    <t>Beyond academic prototypes, practical notebook-based systems, e.g., Google Colab, Replit, also demonstrate the feasibility of interactive code generation and execution.</t>
  </si>
  <si>
    <t>Minghe Wang; Tobias Pfandzelter; Trever Schirmer (2025). LLM4FaaS: No-Code Application Development using LLMs and FaaS. ACM Reference Format:; for redistribution. The definitive Version of Record was published in2025 IEEE/ACM; 18th International Conference on Utility and Cloud Computing (UCC ’25), December 1-4,.</t>
  </si>
  <si>
    <t>https://doi.org/10.1145/3773274.3774686</t>
  </si>
  <si>
    <t>P005</t>
  </si>
  <si>
    <t>5.Exploring Influence Factors on LLM Suitability for No-Code.pdf</t>
  </si>
  <si>
    <t>research paper\5.Exploring Influence Factors on LLM Suitability for No-Code.pdf</t>
  </si>
  <si>
    <t>Exploring Influence Factors on LLM Suitability for No-Code Development of End User IoT Applications</t>
  </si>
  <si>
    <t>Development of End User Applications; Minghe Wang; Technische Universität Berlin; Scalable Software Systems Research</t>
  </si>
  <si>
    <t>arXiv:2505.04710v2 [cs.DC] 21 Oct 2025</t>
  </si>
  <si>
    <t>Large Language Models, No-Code Development Platforms, End User Development 1</t>
  </si>
  <si>
    <t>No-Code Development Platforms (NCDPs) empower non-technical end users to build applications tailored to their specific demands without writing code. While NCDPs lower technical barriers, users still requiresometechnical knowledge, e.g., to structure process steps or define event-action rules. Large Language Models (LLMs) offer a promising solution to further reduce technical requirements by supporting natural language interaction and dynamic code generation. By integrating LLM, NCDPs can be more accessible to non-technical users, enabling application development truly without requiringanytechnical expertise. Despite growing interest in LLM-powered NCDPs, a systematic investigation into the factors influencing LLM suitability and performance remains absent. Understanding these factors is critical to effectively leveraging LLMs capabilities and maximizing their impact. In this paper, we investigate key factors influencing the effectiveness of LLMs in supporting end-user application development within NCDPs. By conducting comprehensive experiments, we evaluate the impact of four key factors, i.e., model selection, prompt language, training data background, and an error-informed few-shot setup, on the quality of generated applications. Specifically, we selected a range of LLMs based on their architecture, scale, design focus, and training data, and evaluated them across four real-world smart home automation scenarios implemented on a representative open-source LLM-powered NCDP. Our findings offer practical insights into how LLMs can be effectively integrated into NCDPs, info...</t>
  </si>
  <si>
    <t>Platform comparison; Scalability; Education and training</t>
  </si>
  <si>
    <t>Our findings offer practical insights into how LLMs can be effectively integrated into NCDPs, informing both platform design and the selection of suitable LLMs for end-user application development. | This architecture decouples infrastructure handling concerns from function logic generation, which has been shown to enhance the reliability of LLM outputs, making it server as a stable and representative foundation for isolating and examining LLM-specific factors in NCDPs. | Section 3 describes...</t>
  </si>
  <si>
    <t>Some work focuses on translating natural language into structured workflows or applications, for example, Cai et al. [ 8] present an LLM-driven low-code approach that generates editable flowcharts from user instructions for iterative refinement; Esashi et al. [14] target FaaS workflow generation to benefit Cloud developers, using a dataset for compositional multi-tool tasks, though excluding execution; and Wang et al. [ 36], our prior work, use GPT-4oto generate serverless functions and deplo...</t>
  </si>
  <si>
    <t>Exploring Influence Factors on LLM Suitability for No-Code Development of End User Applications Minghe Wang mw@3s.tu-berlin.de Technische Universität Berlin Scalable Software Systems Research Group Berlin, Germany Alexandra Kapp ak@3s.tu-berlin.de Technische Universität Berlin Scalable Software Systems Research Group Berlin, Germany Trever Schirmer ts@3s.tu-berlin.de Technische Universität Berlin Scalable Software Systems Research Group Berlin, Germany Tobias Pfandzelter tp@3s.tu-berlin.de Te...</t>
  </si>
  <si>
    <t>low-code; no-code; end-user development</t>
  </si>
  <si>
    <t>Some work adapts LLM-based platforms to particular domains or examining broader impacts, for example, Monteiro et al. [27] propose NoCodeGPT for web application development with rollback mechanisms, Hagel et al. [17] automate the DSL models generation based on technical descriptions, Chen et al. [ 9] introduce a template-bounded no-code automated machine learning (AutoML) framework, and Liu et al. [23] conduct an empirical comparison of traditional low-code programming and an LLM-based approa...</t>
  </si>
  <si>
    <t>Unclear: method not explicitly named; paper appears to propose or describe an artifact</t>
  </si>
  <si>
    <t>No Empirical Data</t>
  </si>
  <si>
    <t>Exploring Influence Factors on LLM Suitability for No-Code Development of End User Applications Minghe Wang mw@3s.tu-berlin.de Technische Universität Berlin Scalable Software Systems Research Group Berlin, Germany Alexandra Kapp ak@3s.tu-berlin.de Technische Universität Berlin Scalable Software Systems Research Group Berlin, Germany Trever Schirmer ts@3s.tu-berlin.de Technische Universität Berlin Scalable Software Systems Research Group Berlin...</t>
  </si>
  <si>
    <t>Beyond the question of how well LLMs can perform these tasks and what causes their behavior, introducing LLM-based automation for user-oriented platforms raises interesting research questions outside the domain of computer systems research.</t>
  </si>
  <si>
    <t>Specifically, we selected a range of LLMs based on their architecture, scale, design focus, and training data, and evaluated them across four real-world smart home automation scenarios implemented on a representative open-source LLM-powered NCDP.</t>
  </si>
  <si>
    <t>Wang et al. different demands on LLMs than code generation as part of a professional developer’s toolchain.</t>
  </si>
  <si>
    <t>3.2.1 Model Selection.With the rapid proliferation of LLMs, it is essential to evaluate their feasibility within NCDPs. | The original response is in Chinese, and we provide an English translation for clarity. errors in the generated results, and thesemantic successis defined as a complete (100%) alignment with user requirements. | A CMR of 100% indicates that all GT outputs are fully covered in MO, i.e., achievessemantic success, while lower scores suggest missing or incorrectly generated outputs. | For example, if the light should be turned on and the curtain closed, but only one task is accomplished, this results in 50%semantic accuracy.</t>
  </si>
  <si>
    <t>By conducting comprehensive experiments, we evaluate the impact of four key factors, i.e., model selection, prompt language, training data background, and an error-informed few-shot setup, on the quality of generated applications.</t>
  </si>
  <si>
    <t>This architecture decouples infrastructure handling concerns from function logic generation, which has been shown to enhance the reliability of LLM outputs, making it server as a stable and representative foundation for isolating and examining LLM-specific factors in NCDPs.</t>
  </si>
  <si>
    <t>Our findings offer practical insights into how LLMs can be effectively integrated into NCDPs, informing both platform design and the selection of suitable LLMs for end-user application development. | This architecture decouples infrastructure handling concerns from function logic generation, which has been shown to enhance the reliability of LLM outputs, making it server as a stable and representative foundation for isolating and examining LLM-specific factors in NCDPs. | Section 3 describes the methodology and study design we followed while investigating the impact factors of LLM-powered NCDPs, and Section 4 presents the experiment results and findings.</t>
  </si>
  <si>
    <t>Exploring Influence Factors on LLM Suitability for No-Code Development of End User Applications Minghe Wang mw@3s.tu-berlin.de Technische Universität Berlin Scalable Software Systems Research Group Berlin, Germany Alexandra Kapp ak@3s.tu-berlin.de Technische Universität Berlin Scalable Software Systems Research Group Berlin, Germany Trever Schirmer ts@3s.tu-berlin.de Technische Universität Berlin Scalable Software Systems Research Group Berlin... | Large Language Models (LLMs) offer a promising solution to further reduce technical requirements by supporting natural language interaction and dynamic code generation.</t>
  </si>
  <si>
    <t>While NCDPs lower technical barriers, users still requiresometechnical knowledge, e.g., to structure process steps or define event-action rules. | Achieving tailored functionality often requires coding knowledge, creating barriers for non-technical users.</t>
  </si>
  <si>
    <t>For example, in smart home environments, some users may prefer window blinds that automatically adjust based on sunlight exposure to maintain steady indoor lighting, while others might prioritize wake-up routines synchronized with natural light or security systems that adapt to their daily schedules.</t>
  </si>
  <si>
    <t>(1) Simple: a use case which expects a straightforward device control functionality.</t>
  </si>
  <si>
    <t>This limitation hinders the reproducibility and scalability of few-shot evaluation across different platforms.Baidu Qianfanhas a strict | 2.4.2 LLM Suitability in other Domains.There exists research examining LLM suitability in diverse technical domains, for example, Li et al. [22] compare GPT models with smaller fine-tuned models for detecting self-admitted technical debt, proposing a hybrid framework to balance precision and recall; Lu et al. [25] investigate distributed training strategies for large Transformer models, analyzing performance-memory trade-offs across model architectures and parallelization methods; Petrukha et al. [29] introduce SwiftEval, a benchmark for ass...</t>
  </si>
  <si>
    <t>While the landscape of LLM-powered NCDPs is rapidly evolving, existing research has primarily focused on the feasibility of LLM integration [8, 9, 15, 17, 36].</t>
  </si>
  <si>
    <t>It can be useful for developers to understand code or for educational purposes, but it is not ideal for NCDPs, where more targeted and functional code generation is required.</t>
  </si>
  <si>
    <t>2.1 Large Language Models LLMs are advanced artificial intelligence models trained on vast amounts of text data to understand, process and generate humanlike responses.</t>
  </si>
  <si>
    <t>This approach streamlines the development process, leading to fast deployment, reducing costs, and enabling flexibility [10, 31, 34].</t>
  </si>
  <si>
    <t>These personalized configurations not only enhance convenience and comfort but can also improve energy efficiency, security, and privacy [3, 37].</t>
  </si>
  <si>
    <t>Whileleaderboards compare models on general purpose tests regarding [2, 18, 19, 24], e.g., knowledge, reasoning, or code generation, a more detailed comparison is necessary to understand the influence of varying model factors for specific tasks.</t>
  </si>
  <si>
    <t>PDF text extracted from 23 pages; sample evidence page: Not reported.</t>
  </si>
  <si>
    <t>.According to the experimental results, theGPT-4oand the Chinese LLMs demonstrate a strong performance in terms of syntactic and semantic accuracy. In contrast, other LLMs struggle with semantic accuracy, though the underlying causes differ. (1) LLaMAeither fails to generate a function or simply restructures and rewrites the reference code provided in the prompt. (2) Geminigenerates an excessive amount of unnecessary code snippets irrelevant to user requirements. While some generated functions contain required functionalities, they often lack semantic accuracy. (3) Copilotprimarily generates skeletal or pseudocode structures, offering little functional implementation. Wang et al. 0 20 40 60 80 100 Semantic Accuracy Rate (%) 0 20 40 60 80 100Percent GPT-4o GPT-4o-mini Baidu-Qianfan Ali-Qwen-Max DeepSeek-R1 (a) Easy 0 20 40 60 80 100 Semantic Accuracy Rate (%) 0 20 40 60 80 100Percent GPT-4o GPT-4o-mini Baidu-Qianfan Ali-Qwen-Max DeepSeek-R1 (b) Medium 0 20 40 60 80 100 Semantic Accuracy Rate (%) 0 20 40 60 80 100Percent GPT-4o GPT-4o-mini Baidu-Qianfan Ali-Qwen-Max DeepSeek-R1 (c) Advanced 0 20 40 60 80 100 Semantic Accuracy Rate (%) 0 20 40 60 80 100Percent GPT-4o GPT-4o-mini Baidu-Qianfan Ali-Qwen-Max DeepSeek-R1 (d) Complex Figure 9: Semantic Accuracy Comparison with Chinese Models:GPT-4oalso outperforms the Chinese models in semantic accuracy across tasks of varying diffi...</t>
  </si>
  <si>
    <t>Sample/data adequacy could not be verified from parsed text; Research method not explicitly identified</t>
  </si>
  <si>
    <t>. 5.1 Model Selection Strategy With the release of a range of diverse LLMs in recent years, new opportunities for NCDP rose. However, it is challenging to maintain an overview over model performances and select the most suitable for the use case at hand. With a vast number of available LLMs, each exhibiting different strengths and weaknesses, choosing the right model requires careful consideration. In this case, we select five LLMs that differ in design intent, optimization strategy, scale, and open-source or proprietary to assess their suitability for NCDPs. According to the experiment results, the general-purpose LLMs with strong capability, such asOpenAImodels, i.e.,GPT-4o andGPT-4o-mini, consistently show strong performance among tasks in different levels of complexity and outperform the other models. This is true even for the LLM designed specific for software engineering tasks, e.g.,Copilot, open-source LLM optimized for efficiency and strong adaptability, e.g.,LLaMA, and LLM...</t>
  </si>
  <si>
    <t>Our findings offer practical insights into how LLMs can be effectively integrated into NCDPs, informing both platform design and the selection of suitable LLMs for end-user application development.</t>
  </si>
  <si>
    <t>SCALABILITY</t>
  </si>
  <si>
    <t>Development of End User Applications; Minghe Wang; Technische Universität Berlin; Scalable Software Systems Research (2025). Exploring Influence Factors on LLM Suitability for No-Code Development of End User IoT Applications. arXiv:2505.04710v2 [cs.DC] 21 Oct 2025.</t>
  </si>
  <si>
    <t>P006</t>
  </si>
  <si>
    <t>6.DMN-Guided Prompting A Framework for Controlling.pdf</t>
  </si>
  <si>
    <t>research paper\6.DMN-Guided Prompting A Framework for Controlling.pdf</t>
  </si>
  <si>
    <t>DMN-Guided Prompting: A Framework for Controlling LLM Behavior</t>
  </si>
  <si>
    <t>Shaghayegh Abedi1 and Amin Jalali2</t>
  </si>
  <si>
    <t>2023</t>
  </si>
  <si>
    <t>arXiv:2505.11701v2 [cs.AI] 4 Sep 2025</t>
  </si>
  <si>
    <t>SAGE</t>
  </si>
  <si>
    <t>Large Language Models, Decision Model and Notation, Automated Feedback, Prompt Engineering 1</t>
  </si>
  <si>
    <t>. Large Language Models (LLMs) have shown considerable potential in automating decision logic within knowledge-intensive processes. However, their effectiveness largely depends on the strategy and quality of prompting. Since decision logic is typically embedded in prompts, it becomes challenging for end users to modify or refine it. Decision Model and Notation (DMN) offers a standardized graphical approach for defining decision logic in a structured, userfriendly manner. This paper introduces a DMN-guided prompting framework that breaks down complex decision logic into smaller, manageable components, guiding LLMs through structured decision pathways. We implemented the framework in a graduate-level course where students submitted assignments. The assignments and DMN models representing feedback instructions served as inputs to our framework. The instructor evaluated the generated feedback and labeled it for performance assessment. Our approach demonstrated promising results, outperforming chain-of-thought (CoT) prompting in our case study. Students also responded positively to the generated feedback, reporting high levels of perceived usefulness in a survey based on the Technology Acceptance Model.</t>
  </si>
  <si>
    <t>Maybe</t>
  </si>
  <si>
    <t>Not LCNC</t>
  </si>
  <si>
    <t>Education and training; Governance and control; Scalability</t>
  </si>
  <si>
    <t>Our approach demonstrated promising results, outperforming chain-of-thought (CoT) prompting in our case study. | These labeled data were used to evaluate the approach, and the results show that DMN-guided prompting outperformed equivalent prompts defined purely using chain-of-thought prompting [20]. | These examples were found to be crucial in avoiding hallucinations, particularly in boundary conditions. - C3 Retrieve Literal Expression: Once a matching decision rule is identified, the LLM re...</t>
  </si>
  <si>
    <t>DMN-Guided Prompting: A Framework for Controlling LLM Behavior Shaghayegh Abedi1 and Amin Jalali2 1 Politecnico di Torino, Turin, Italy, s309894@studenti.polito.it 2 Stockholm University, Stockholm, Sweden, aj@dsv.su.se Abstract.</t>
  </si>
  <si>
    <t>Quantitative</t>
  </si>
  <si>
    <t>Survey</t>
  </si>
  <si>
    <t>Human participants or experimental tasks</t>
  </si>
  <si>
    <t>healthcare</t>
  </si>
  <si>
    <t>Since decision logic is typically embedded in prompts, it becomes challenging for end users to modify or refine it.</t>
  </si>
  <si>
    <t>DMN</t>
  </si>
  <si>
    <t>Because LLMs generate output based on probabilistic patterns learned from large datasets, their responses are susceptible to the wording, structure, and context provided in the prompt.</t>
  </si>
  <si>
    <t>These rules align with specific BPR principles and provide pedagogically meaningful evaluation criteria for student submissions.</t>
  </si>
  <si>
    <t>Students also responded positively to the generated feedback, reporting high levels of perceived usefulness in a survey based on the Technology Acceptance Model.</t>
  </si>
  <si>
    <t>Rule 2 (task composition) was correctly implemented by the majority (79%) of the groups, and the framework achieved 86% accuracy in identifying them - closely aligned with the overall accuracy. | For Rule 3 (knock-out), 93% of the groups modeled the principle correctly, and the framework matched this performance with a 93% accuracy rate - exceeding its overall average. | DMN-Guided Prompting 11 In contrast, Rule 5 (task resequencing) was the most challenging for students, with only one group (7%) correctly reordering tasks. | Despite this, the framework successfully identified the intended logic in 93% of the cases.</t>
  </si>
  <si>
    <t>The instructor evaluated the generated feedback and labeled it for performance assessment.</t>
  </si>
  <si>
    <t>To ensure reliability, the generated feedback was not directly shared with students.</t>
  </si>
  <si>
    <t>Our approach demonstrated promising results, outperforming chain-of-thought (CoT) prompting in our case study. | These labeled data were used to evaluate the approach, and the results show that DMN-guided prompting outperformed equivalent prompts defined purely using chain-of-thought prompting [20]. | These examples were found to be crucial in avoiding hallucinations, particularly in boundary conditions. - C3 Retrieve Literal Expression: Once a matching decision rule is identified, the LLM retrieves the corresponding literal expression associated with the outcome. - C4 Return Final Message: The final step ensures that only the decision message (from the literal expression) is returned.</t>
  </si>
  <si>
    <t>This approach reduces the dependency on ad hoc changes of prompts, making arXiv:2505.11701v2 [cs.AI] 4 Sep 2025 | This framework offers several key benefits: Modularity: Components can be independently created, reused, or updated, supporting maintainable and scalable prompt design.</t>
  </si>
  <si>
    <t>However, their effectiveness largely depends on the strategy and quality of prompting. | However, the effectiveness of LLMs critically depends on the quality of their instructions, also known as prompts.</t>
  </si>
  <si>
    <t>If you have any questions or would like further clarification, please feel free to contact us."    privacy terms imprint cookie preferences about give feedback https://demo.bpmn.io/dmn/new 1/1 Fig.</t>
  </si>
  <si>
    <t>Hit policy:Loan Approval Rule Unique  &gt; 50000 &gt;= 700 approve &gt; 50000 [650..700[ manual_review - - decline - - Annotations 1 2 3  Then Is Eligible for Loan? string  When salary string And creditScore string  Fig.</t>
  </si>
  <si>
    <t>This framework offers several key benefits: Modularity: Components can be independently created, reused, or updated, supporting maintainable and scalable prompt design. | Developing such prompts (commonly known as prompt engineering) is often a trial-and-error process, requiring technical expertise and posing challenges related to transparency, reusability, and maintenance [15, 19].</t>
  </si>
  <si>
    <t>Acknowledgment: The computations for testing and developing our approach were enabled by resources provided by the National Academic Infrastructure for Supercomputing in Sweden (NAISS), partially funded by the Swedish Research Council through grant agreement no.</t>
  </si>
  <si>
    <t>2 Shaghayegh Abedi and Amin Jalali it easier to understand, modify, and maintain - particularly in settings where clarity, consistency, and collaboration are essential.</t>
  </si>
  <si>
    <t>We begin by describing the educational setting, followed by the implementation and evaluation methodology, and conclude with findings concerning system performance and student perceptions.</t>
  </si>
  <si>
    <t>Our approach demonstrated promising results, outperforming chain-of-thought (CoT) prompting in our case study.</t>
  </si>
  <si>
    <t>These descriptions retain critical control flow and resource semantics, enabling LLMs to interpret process models as standardized textual artifacts.</t>
  </si>
  <si>
    <t>However, their effectiveness largely depends on the strategy and quality of prompting.</t>
  </si>
  <si>
    <t>This approach reduces the dependency on ad hoc changes of prompts, making arXiv:2505.11701v2 [cs.AI] 4 Sep 2025</t>
  </si>
  <si>
    <t>We implemented the framework in a graduate-level course where students submitted assignments.</t>
  </si>
  <si>
    <t>PDF text extracted from 15 pages; sample evidence page: Not reported.</t>
  </si>
  <si>
    <t>observed in the study. Finally, Section 5 concludes the paper and introduces future directions. 2 Background 2.1 Decision Model and Notation Decision Model and Notation (DMN) is a standard developed by the Object Management Group (OMG) to represent decision logic in a clear, structured, and interpretable format [1]. It is widely used in business process management to separate decision logic from process flows, enabling organizations to formalize and automate operational decisions transparently. A key advantage of DMN is its accessibility to both business professionals and technical users. It offers graphical and tabular notations that help bridge the gap between informal business rules and executable logic [2, 14]. DMN supports decision modeling using the Decision Requirements Diagram (DRD) [1]. Fig. 1 presents a sample DRD that will serve as a running example throughout this paper to illustrate our approach (for the complete DMN specification, refer to [1]). This diagram specifies the rules for a fictitious loan eligibility process, where the decision is based on the applicant’s Salary and Credit Score, modeled as input data elements. A decision table element, named Loan Approval Rule, encodes the decision logic. The decision output is then passed to a literal expression element, called Loan Approval Result. Literal expressions represent decision logic using textual stateme...</t>
  </si>
  <si>
    <t>can expand in several directions. First, exploring how DMN-guided prompting can be adapted for other application domains, such as healthcare or compliance auditing, will help assess its generalizability. Second, combining DMN with retrieval-augmented generation (RAG) may further enhance reasoning grounded in external knowledge. Third, if customized message generation is desired, the LLM can post-process the output messages using a secondary prompt; otherwise, the framework returns only the predefined messages specified in the DMN logic. Fourth, this approach can be complemented by incorporating few-shot learning, where example inputs are used to improve LLM accuracy when interpreting or applying DMN rules. Fifth, other ways of defining DMN rules and alternative strategies for prompt construction can be explored to increase flexibility and expressiveness. Finally, investigating multi-turn interactions and conversational agents powered by DMN-guided LLMs could open new opportunities f...</t>
  </si>
  <si>
    <t>GOVERNANCE</t>
  </si>
  <si>
    <t>Shaghayegh Abedi1 and Amin Jalali2 (2023). DMN-Guided Prompting: A Framework for Controlling LLM Behavior. arXiv:2505.11701v2 [cs.AI] 4 Sep 2025.</t>
  </si>
  <si>
    <t>P007</t>
  </si>
  <si>
    <t>7.Fine-Tune an SLM or Prompt an LLM The Case of Generating.pdf</t>
  </si>
  <si>
    <t>research paper\7.Fine-Tune an SLM or Prompt an LLM The Case of Generating.pdf</t>
  </si>
  <si>
    <t>Fine-Tune an SLM or Prompt an LLM? The Case of Generating Low-Code Workflows</t>
  </si>
  <si>
    <t>Low-Code Workflows; Orlando Marquez Ayala; ServiceNow; Patrice Bechard</t>
  </si>
  <si>
    <t>KDD Workshop ’25, Toronto, Canada; arXiv:2505.24189v2 [cs.LG] 16 Jul 2025; KDD Workshop ’25, August 03-07,2025, Toronto, Canada Orlando Marquez Ayala, Patrice Bechard, Emily Chen, Maggie Baird, and Jingfei Chen</t>
  </si>
  <si>
    <t>Large Language Models, Generative AI, Retrieval-Augmented Generation, Task Decomposition, Workflows 1</t>
  </si>
  <si>
    <t>Large Language Models (LLMs) such as GPT-4o can handle a wide range of complex tasks with the right prompt. As per token costs are reduced, the advantages of fine-tuning Small Language Models (SLMs) for real-world applications - faster inference, lower costs - may no longer be clear. In this work, we present evidence that, for domain-specific tasks that require structured outputs, SLMs still have a quality advantage. We compare fine-tuning an SLM against prompting LLMs on the task of generating low-code workflows in JSON form. We observe that while a good prompt can yield reasonable results, fine-tuning improves quality by 10% on average. We also perform systematic error analysis to reveal model limitations. CCS Concepts •Computing methodologies → Natural language processing; Machine learning; •Information systems → Specialized information retrieval; Enterprise information systems.</t>
  </si>
  <si>
    <t>Platform comparison; Education and training; Limitations and research gaps</t>
  </si>
  <si>
    <t>We also perform systematic error analysis to reveal model limitations. | We found out that, while prompting an LLM gives reasonable results, we can do better by fine-tuning an SLM. | Our contributions are the following: • We present a case study for how we built an application that generates low-code workflows based on textual user requirements. • We demonstrate that fine-tuning an SLM gives better results than prompting much larger LLMs in this domain-specific task. • We introduce a process...</t>
  </si>
  <si>
    <t>Case Study</t>
  </si>
  <si>
    <t>Some of the challenges in this task are: • Every step must exist in the system environment; they vary by installation and users can add custom steps. • Workflow structure must follow a set of well-defined rules, using concepts such as conditions (e.g., IF) and loops (e.g., FOREACH). • Every step generates outputs of data types such as integer or boolean, which can be used in subsequent steps. • Steps have inputs that can refer to database tabl...</t>
  </si>
  <si>
    <t>For example, the Look Up Incident Records step in Figure 1 matches rows in the incident table where the column assigned_to has the same value as the user record from the trigger step. arXiv:2505.24189v2 [cs.LG] 16 Jul 2025</t>
  </si>
  <si>
    <t>After discarding those too short or too long, we selected 1,512 workflows.</t>
  </si>
  <si>
    <t>We also created a special dataset by inviting expert enterprise users to interact with the tool and collecting data generated from their usage.</t>
  </si>
  <si>
    <t>We observe that while a good prompt can yield reasonable results, fine-tuning improves quality by 10% on average. | Dataset # createFlow # populateInputs Internal 1,512 4,709 Synthetic 766 2,310 TEST 108 367 OOD 1,072 4,958 4.2 Models For SLMs, we considered several models such as StarCoderBase-7B [17] and Llama-3.1-8B [13], but we chose Mistral-Nemo-12B-Base [20] because this model architecture is well-supported and optimized in our enterprise system. | This gap is 7.2% on TEST but 12.4% on OOD, around 10% if we average the two. | Nevertheless, we see that the improvement is only a maximum of 4%, suggesting that most errors are model errors.</t>
  </si>
  <si>
    <t>We also perform systematic error analysis to reveal model limitations.</t>
  </si>
  <si>
    <t>We also perform systematic error analysis to reveal model limitations. | We found out that, while prompting an LLM gives reasonable results, we can do better by fine-tuning an SLM. | Our contributions are the following: • We present a case study for how we built an application that generates low-code workflows based on textual user requirements. • We demonstrate that fine-tuning an SLM gives better results than prompting much larger LLMs in this domain-specific task. • We introduce a process to conduct systematic error analysis that reveals model limitations and complements our metrics.</t>
  </si>
  <si>
    <t>As per token costs are reduced, the advantages of fine-tuning Small Language Models (SLMs) for real-world applications - faster inference, lower costs - may no longer be clear. | We observe that while a good prompt can yield reasonable results, fine-tuning improves quality by 10% on average.</t>
  </si>
  <si>
    <t>We also perform systematic error analysis to reveal model limitations. | Some of the challenges in this task are: • Every step must exist in the system environment; they vary by installation and users can add custom steps. • Workflow structure must follow a set of well-defined rules, using concepts such as conditions (e.g., IF) and loops (e.g., FOREACH). • Every step generates outputs of data types such as integer or boolean, which can be used in subsequent steps. • Steps have inputs that can refer to database tabl...</t>
  </si>
  <si>
    <t>In various industry-specific settings, specialized models have demonstrated superior performance over state-of-the-art general-domain LLMs [6, 25, 30]. | It makes the process less time-consuming due to its reusability and extensibility.</t>
  </si>
  <si>
    <t>As per token costs are reduced, the advantages of fine-tuning Small Language Models (SLMs) for real-world applications - faster inference, lower costs - may no longer be clear.</t>
  </si>
  <si>
    <t>Our approach was to create a small yet representative training dataset for the sub-tasks comprising Flow Generation and fine-tune Mistral-Nemo-12B-Base [20].</t>
  </si>
  <si>
    <t>The Case of Generating Low-Code Workflows Orlando Marquez Ayala ServiceNow orlando.marquez@servicenow.com Patrice Bechard ServiceNow patrice.bechard@servicenow.com Emily Chen ServiceNow emily.chen@servicenow.com Maggie Baird ServiceNow maggie.baird@servicenow.com Jingfei Chen ServiceNow jingfei.chen@servicenow.com Abstract Large Language Models (LLMs) such as GPT-4o can handle a wide range of complex tasks with the right prompt.</t>
  </si>
  <si>
    <t>Although prompting state-of-the-art models such as GPT-4o [15], Gemini 2.0 Flash [12], or Claude 3.5 Sonnet [1] generally suffice for traditional tasks like question-answering or summarization [9], it is not always the case on domain-specific tasks [24].</t>
  </si>
  <si>
    <t>Keywords Large Language Models, Generative AI, Retrieval-Augmented Generation, Task Decomposition, Workflows 1 Introduction Generative AI is pushing the boundaries of AI-based software.</t>
  </si>
  <si>
    <t>Our last quantitative comparison helps us determine whether suboptimal RAG is primarily responsible for errors.</t>
  </si>
  <si>
    <t>PDF text extracted from 8 pages; sample evidence page: Not reported.</t>
  </si>
  <si>
    <t>. CCS Concepts •Computing methodologies → Natural language processing; Machine learning; •Information systems → Specialized information retrieval; Enterprise information systems. Keywords Large Language Models, Generative AI, Retrieval-Augmented Generation, Task Decomposition, Workflows 1 Introduction Generative AI is pushing the boundaries of AI-based software. As Large Language Models (LLMs) become more capable, they have become an integral part of the software stack. Although prompting state-of-the-art models such as GPT-4o [15], Gemini 2.0 Flash [12], or Claude 3.5 Sonnet [1] generally suffice for traditional tasks like question-answering or summarization [9], it is not always the case on domain-specific tasks [24]. While building Flow Generation, an application that generates low-code workflows based on textual user requirements, we explored whether fine-tuning a language model was necessary to achieve the desired software quality. To reduce infrastructure needs, we only considered Small Language Models (SLMs), having less than 15 billion parameters. Enterprise workflows are a common way to automate repetitive yet complex processes. They are represented as a series of steps that are executed under certain conditions to fulfill specific goals. While low-code workflows tend to be built in easy-to-use interfaces, creating them still requires expert knowledge of the enterpr...</t>
  </si>
  <si>
    <t>. We address the third drawback by computing the percentage of generated examples with at least one such structure error. While the most complete metric is FlowSim of outline and inputs , we also report FlowSim of outline, and the percentage of examples with structure errors. 5 Results Figure 4 shows the results for our fine-tuned SLM and all other LLMs on the small TEST and the larger OOD datasets. MistralNemo-12B-Instruct performs poorly across the board confirming that SLMs require workflow in-domain training data. LLMs of the "mini" sort, even o3-mini with medium reasoning, also do not perform well. When we prompt larger LLMs, we see competitive results, especially with Gemini-2.0-Flash and GPT-4o. As generating the outline is a simpler task, we see a larger gap between our fine-tuned SLM and these models when we generate the complete workflow (outline and inputs). This gap is 7.2% on TEST but 12.4% on OOD, around 10% if we average the two. All models perform worse when the requ...</t>
  </si>
  <si>
    <t>LIMITATIONS_GAPS</t>
  </si>
  <si>
    <t>Low-Code Workflows; Orlando Marquez Ayala; ServiceNow; Patrice Bechard (2023). Fine-Tune an SLM or Prompt an LLM? The Case of Generating Low-Code Workflows. KDD Workshop ’25, Toronto, Canada; arXiv:2505.24189v2 [cs.LG] 16 Jul 2025; KDD Workshop ’25, August 03-07,2025, Toronto, Canada Orlando Marquez Ayala, Patrice Bechard, Emily Chen, Maggie Baird, and Jingfei Chen.</t>
  </si>
  <si>
    <t>P008</t>
  </si>
  <si>
    <t>8.NoCode-bench A Benchmark for Evaluating Natural.pdf</t>
  </si>
  <si>
    <t>research paper\8.NoCode-bench A Benchmark for Evaluating Natural.pdf</t>
  </si>
  <si>
    <t>NoCode-bench: A Benchmark for Evaluating Natural Language-Driven Feature Addition</t>
  </si>
  <si>
    <t>Language-Driven Feature Addition; Le Deng∗; The State Key Laboratory of; Blockchain and Data Security,</t>
  </si>
  <si>
    <t>arXiv:2507.18130v3 [cs.SE] 18 Aug 2025</t>
  </si>
  <si>
    <t>Natural language-driven no-code development aims to enable users to specify software functionality through natural language (NL) without directly editing source code, holding the promise for democratizing software development and increasing productivity. Large language models (LLMs) have demonstrated their great potential in realizing this development paradigm. As software documentation serves as an authoritative NL specification of software functionality, we envision a natural and promising no-code development scenario where users or developers update documentation to specify new features, and LLMs automatically infer and perform the corresponding code changes. To advance no-code development, this work introduces NoCode-bench, a benchmark designed to evaluate LLMs on real-world NL-driven feature addition tasks. NoCode-bench consists of 634 tasks across 10 projects involving about 114k code changes in total, each of which pairs a user-facing documentation change and the corresponding code implementation that can be validated against developer-written test cases. It is constructed through a five-phase pipeline starting from release notes, offering broad coverage and simulating real-world development scenarios. To facilitate lightweight and reliable evaluation under limited resources, we further curate a human-validated subset named NoCode-bench Verified. It covers 114 high-quality instances across projects, where the task clarity and evaluation validity are manually verified. We use NoCode-bench to assess a range of state-of-the-art LLMs. Experimental results show that de...</t>
  </si>
  <si>
    <t>Platform comparison</t>
  </si>
  <si>
    <t>Quality assurance and testing; AI and automation; Definitions and conceptual boundaries</t>
  </si>
  <si>
    <t>Large language models (LLMs) have demonstrated their great potential in realizing this development paradigm. | Experimental results show that despite significant token consumption, the best task success rate remains as low as 28.07%. | In addition, our analysis reveals that LLMs face key challenges in cross-file editing, comprehensively understanding the codebase structure, and tool calling.</t>
  </si>
  <si>
    <t>NoCode-bench: A Benchmark for Evaluating Natural Language-Driven Feature Addition Le Deng∗ The State Key Laboratory of Blockchain and Data Security, Zhejiang University Hangzhou, China dengle@zju.edu.cn Zhonghao Jiang∗ The State Key Laboratory of Blockchain and Data Security, Zhejiang University Hangzhou, China zhonghao.j@zju.edu.cn Jialun Cao The Hong Kong University of Science and Technology Hong Kong, China jialuncao@ust.hk Michael Pradel University of Stuttgart Stuttgart, Germany michael@...</t>
  </si>
  <si>
    <t>no-code</t>
  </si>
  <si>
    <t>We leverage NoCodebench Verified to systematically evaluate a range of state-of-the-art LLMs with the Agentless and OpenHands frameworks.</t>
  </si>
  <si>
    <t>localization</t>
  </si>
  <si>
    <t>NoCode-bench: A Benchmark for Evaluating Natural Language-Driven Feature Addition Le Deng∗ The State Key Laboratory of Blockchain and Data Security, Zhejiang University Hangzhou, China dengle@zju.edu.cn Zhonghao Jiang∗ The State Key Laboratory of Blockchain and Data Security, Zhejiang University Hangzhou, China zhonghao.j@zju.edu.cn Jialun Cao The Hong Kong University of Science and Technology Hong Kong, China jialuncao@ust.hk Michael Pradel U...</t>
  </si>
  <si>
    <t>NoCode-bench</t>
  </si>
  <si>
    <t>3 EXPERIMENTAL SETUP 3.1 Research Questions We evaluate the performance of state-of-the-art (SOTA) LLMs on no-code feature addition with NoCode-bench. | Specifically, we aim to address the following research questions (RQs): • RQ1: What are the characteristics of tasks in NoCode-bench compared to SWE-bench? • RQ2: How do state-of-the-art LLM-based techniques perform on NoCode-bench Verified? • RQ3: How do state-of-the-art LLM-based techniques perform on NoCode-bench Full? • RQ4: What are the primary reasons for LLM failures on NoCodebench? | 4 RESULTS 4.1 RQ1: Characteristics &amp; Challenges To better understand the unique characteristics and challenges posed by our benchmark, we analyze and compare the distribution of instances in NoCode-bench and SWE-bench across dimensions related to input complexity, localization difficulty, and editing difficulty as shown in Figure 3.</t>
  </si>
  <si>
    <t>NoCode-bench consists of 634 tasks across 10 projects involving about 114k code changes in total, each of which pairs a user-facing documentation change and the corresponding code implementation that can be validated against developer-written test cases.</t>
  </si>
  <si>
    <t>As shown in Figure 2, we begin with carefully selected projects (Phase 1), then progressively identify, filter, and collect instances (Phase 2), reconstruct their development environments (Phase 3), filter instances based on execution (Phase 4), and finally refine the task input (Phase 5).</t>
  </si>
  <si>
    <t>NoCode-bench consists of 634 tasks across 10 projects involving about 114k code changes in total, each of which pairs a user-facing documentation change and the corresponding code implementation that can be validated against developer-written test cases. | Experimental results show that despite significant token consumption, the best task success rate remains as low as 28.07%. | For example, prior work [13, 26] has shown that approximately 60% of overall software development costs are allocated to maintenance activities, with feature addition accounting for around 60% of these maintenance efforts. | For example, only 7.3% of the tasks in SWE-bench involve enhancement tasks like feature additions.</t>
  </si>
  <si>
    <t>It covers 114 high-quality instances across projects, where the task clarity and evaluation validity are manually verified.</t>
  </si>
  <si>
    <t>Prior work has shown that no-code development holds promise for democratizing software development and significantly increasing productivity [27, 31]. | To understand and further improve the performance of LLMs in NLdriven no-code development, we need high-quality benchmarks where the instances take NL specifications as input and can simulate real-world development tasks.</t>
  </si>
  <si>
    <t>In addition, our analysis reveals that LLMs face key challenges in cross-file editing, comprehensively understanding the codebase structure, and tool calling. | NoCode-bench formulates a new challenge and paves the way for future progress in NL-driven no-code software development. ∗Equal contribution. † Corresponding Author.</t>
  </si>
  <si>
    <t>NoCode-bench: A Benchmark for Evaluating Natural Language-Driven Feature Addition Le Deng∗ The State Key Laboratory of Blockchain and Data Security, Zhejiang University Hangzhou, China dengle@zju.edu.cn Zhonghao Jiang∗ The State Key Laboratory of Blockchain and Data Security, Zhejiang University Hangzhou, China zhonghao.j@zju.edu.cn Jialun Cao The Hong Kong University of Science and Technology Hong Kong, China jialuncao@ust.hk Michael Pradel University of Stuttgart Stuttgart, Germany michael@binaervarianz.de Zhongxin Liu† The State Key Labor...</t>
  </si>
  <si>
    <t>In contrast, NoCode-bench Verified is a high-quality and more reliable subset, enabling faster and more controlled evaluation of LLMs’ ability to solve no-code feature addition tasks.</t>
  </si>
  <si>
    <t>SWE-bench’s per-instance Docker approach incurs significant storage overhead and is less scalable when instances share highly similar environments [ 40]. | For example, prior work [13, 26] has shown that approximately 60% of overall software development costs are allocated to maintenance activities, with feature addition accounting for around 60% of these maintenance efforts.</t>
  </si>
  <si>
    <t>This phase ensures that each instance is equipped with a clean and functional containerized environment, establishing a reliable foundation for subsequent testing and analysis.</t>
  </si>
  <si>
    <t>As these models provide a diverse spectrum in terms of size and training paradigms, we can explore how different architectures and capabilities impact the performance on no-code feature addition tasks.</t>
  </si>
  <si>
    <t>For example, prior work [13, 26] has shown that approximately 60% of overall software development costs are allocated to maintenance activities, with feature addition accounting for around 60% of these maintenance efforts.</t>
  </si>
  <si>
    <t>However, software documentation can range from dozens to thousands of pages, and software projects often consist of tens or hundreds of thousands of lines of code, making such a benchmark too challenging to sensitively measure the progress in this field.</t>
  </si>
  <si>
    <t>Figure 3: Comparison of golden patch distributions between NoCode-bench and SWE-bench along dimensions related to localization and editing difficulty. - Micro-level FV (FV-Micro): The overall ratio of passed F2P tests to the total number of F2P tests across all instances: FV-Micro = Í𝑁 𝑖=1 #Passed𝑖Í𝑁 𝑖=1 #Total𝑖 , where #Passed𝑖 and #Total𝑖 denote the number of passed and total F2P tests for instance 𝑖, respectively. - Macro-level FV (FV-Macro):The average F2P pass rate across instances: FV-Macro = 1 𝑁 Í𝑁 𝑖=1 #Passed𝑖 #Total𝑖 , where 𝑁 is the total number of instances.</t>
  </si>
  <si>
    <t>PDF text extracted from 12 pages; sample evidence page: p. 1.</t>
  </si>
  <si>
    <t>. Considering the better performance of Agentless, we Table 5: Performance comparison across different LLMs on NoCode-bench Full with Agentless. Model Success% Applied% RT% FV-Micro FV-Macro File% #Token Qwen3-235B6.62% 99.37% 75.24% 10.78% 15.77% 39.46% 0.19M GPT-4o 9.31% 97.00% 71.14% 8.68% 17.81% 43.58% 0.11M DeepSeek-v311.83% 99.84% 77.44% 16.02% 24.09% 47.48%0.31M DeepSeek-R1 14.83%95.90% 79.34% 10.53% 25.78% 44.89% 0.57M Average 10.65% 98.03% 75.79% 11.50% 20.86% 43.85% 0.30M use it as the scaffold to evaluate the remaining four models on NoCode-bench Full, and report the results in Table 5. We find that all four models show decreased performance on NoCode-bench Full compared to NoCode-bench Verified. Specifically, the average success rate of the four used models drops from 18.20% to 10.65%, and the accuracy of modified files drops from 49.49% to 43.85%. We further investigate the causes of this phenomenon. Since NoCode-bench Full is a large-scale dataset involving more extensive file modifications and more complex code changes, it presents a diverse range of challenges. In addition, because NoCodebench Full is unverified, it contains some noise, including unclear documentation changes or low-coverage regression tests, which make it more representative of real-world, no-code feature addition tasks, but harder for LLMs to solve. In contrast, NoCode-bench Verified is a h...</t>
  </si>
  <si>
    <t>. Considering the better performance of Agentless, we Table 5: Performance comparison across different LLMs on NoCode-bench Full with Agentless. Model Success% Applied% RT% FV-Micro FV-Macro File% #Token Qwen3-235B6.62% 99.37% 75.24% 10.78% 15.77% 39.46% 0.19M GPT-4o 9.31% 97.00% 71.14% 8.68% 17.81% 43.58% 0.11M DeepSeek-v311.83% 99.84% 77.44% 16.02% 24.09% 47.48%0.31M DeepSeek-R1 14.83%95.90% 79.34% 10.53% 25.78% 44.89% 0.57M Average 10.65% 98.03% 75.79% 11.50% 20.86% 43.85% 0.30M use it as the scaffold to evaluate the remaining four models on NoCode-bench Full, and report the results in Table 5. We find that all four models show decreased performance on NoCode-bench Full compared to NoCode-bench Verified. Specifically, the average success rate of the four used models drops from 18.20% to 10.65%, and the accuracy of modified files drops from 49.49% to 43.85%. We further investigate the causes of this phenomenon. Since NoCode-bench Full is a large-scale dataset involving more extens...</t>
  </si>
  <si>
    <t>LCNC_DEF</t>
  </si>
  <si>
    <t>Findings</t>
  </si>
  <si>
    <t>Language-Driven Feature Addition; Le Deng∗; The State Key Laboratory of; Blockchain and Data Security, (2023). NoCode-bench: A Benchmark for Evaluating Natural Language-Driven Feature Addition. arXiv:2507.18130v3 [cs.SE] 18 Aug 2025.</t>
  </si>
  <si>
    <t>P009</t>
  </si>
  <si>
    <t>9.Review of Tools for Zero-Code LLM Based.pdf</t>
  </si>
  <si>
    <t>research paper\9.Review of Tools for Zero-Code LLM Based.pdf</t>
  </si>
  <si>
    <t>Review of Tools for Zero-Code LLM Based Application Development</t>
  </si>
  <si>
    <t>Application Development; Priyaranjan Pattnayak1 and Hussain Bohra 2</t>
  </si>
  <si>
    <t>arXiv:2510.19747v1 [cs.SE] 22 Oct 2025</t>
  </si>
  <si>
    <t>Large Language Models, Citation Generation, Retrieval-Augmented Generation, AI Ethics, Multimodal LLMs, Evaluation Metrics. 1</t>
  </si>
  <si>
    <t>.Large Language Models (LLMs) are transforming software creation by enabling zero-code development platforms. This survey reviews recent platforms that let users build applications without writing code, by leveraging LLMs as the “brains” of the development process. We adopt a broad survey methodology, categorizing platforms based on key dimensions such as interface style, backend integration, output type, and extensibility. We cover both dedicated LLM-based app builders (e.g., OpenAI’s custom GPTs, Bolt.new, Dust.tt, Flowise, Cognosys) and general no-code platforms (e.g., Bubble, Glide) that integrate LLM capabilities. We present a taxonomy categorizing these platforms by their interface (conversational, visual, etc.), supported LLM backends, output type (chatbot, full application, workflow), and degree of extensibility. Core features such as autonomous agents, memory management, workflow orchestration, and API integrations are examined. We provide a detailed comparison, highlighting each platform’s strengths and limitations. Trade-offs (customizability, scalability, vendor lock-in) are discussed in comparison with traditional and low-code development approaches. Finally, we outline future directions-including multimodal interfaces, on-device LLMs, and improved orchestration for democratizing app creation with AI. Our findings indicate that while zero-code LLM platforms greatly lower the barrier to creating AI-powered applications, they still face challenges in flexibility and reliability. Overall, the landscape is rapidly evolving, offering exciting opportunities to emp...</t>
  </si>
  <si>
    <t>Platform comparison; Integration; Vendor lock-in</t>
  </si>
  <si>
    <t>Our findings indicate that while zero-code LLM platforms greatly lower the barrier to creating AI-powered applications, they still face challenges in flexibility and reliability. | No-code configurations may lack versioning, testability, or debugging tools found in traditional development [30]. | We found that while these platforms differ in approach, they all aim to make LLM-powered development accessible without coding.</t>
  </si>
  <si>
    <t>1 Introduction The rise of no-code and low-code development platforms has significantly lowered the barrier for non-programmers to create software [1].</t>
  </si>
  <si>
    <t>We cover both dedicated LLM-based app builders (e.g., OpenAI’s custom GPTs, Bolt.new, Dust.tt, Flowise, Cognosys) and general no-code platforms (e.g., Bubble, Glide) that integrate LLM capabilities.</t>
  </si>
  <si>
    <t>low-code; no-code; visual programming; zero-code</t>
  </si>
  <si>
    <t>We observe that platforms like LangFlow/Flowise or Dust-influenced by AI developer frameworks-provide more robust control flow constructs for AI-driven logic, whereas pure no-code solutions lean on the LLM’s internal decision-making or simpler sequential triggers [11].</t>
  </si>
  <si>
    <t>This survey reviews recent platforms that let users build applications without writing code, by leveraging LLMs as the “brains” of the development process.</t>
  </si>
  <si>
    <t>Power Apps; Mendix; OutSystems; ChatGPT</t>
  </si>
  <si>
    <t>Flowise is an example offering a visual flow builder: users connect nodes representing LLMs, tools, or data sources to define an AI workflow (similar to Node-RED or BPMN for AI) [14].</t>
  </si>
  <si>
    <t>Microsoft’s Power Apps Copilot [18] similarly “generates the app for you based on your description”, creating screens and a data model from a prompt.</t>
  </si>
  <si>
    <t>Review of Tools for Zero-Code LLM Based Application Development Priyaranjan Pattnayak1 and Hussain Bohra 2 1 University of Washington, Seattle, USA, ppattnay@uw.edu, 2 SVKM’s Narsee Monjee Institute of Management Studies, Mumbai, India, hussainbohra@gmail.com Abstract.Large Language Models (LLMs) are transforming software creation by enabling zero-code development platforms.</t>
  </si>
  <si>
    <t>Keywords:Large Language Models, Citation Generation, Retrieval-Augmented Generation, AI Ethics, Multimodal LLMs, Evaluation Metrics.</t>
  </si>
  <si>
    <t>Our findings indicate that while zero-code LLM platforms greatly lower the barrier to creating AI-powered applications, they still face challenges in flexibility and reliability.</t>
  </si>
  <si>
    <t>Finally, we outline future directions-including multimodal interfaces, on-device LLMs, and improved orchestration for democratizing app creation with AI. | Overall, the landscape is rapidly evolving, offering exciting opportunities to empower non-programmers to create sophisticated software.</t>
  </si>
  <si>
    <t>We provide a detailed comparison, highlighting each platform’s strengths and limitations. | Our findings indicate that while zero-code LLM platforms greatly lower the barrier to creating AI-powered applications, they still face challenges in flexibility and reliability.</t>
  </si>
  <si>
    <t>However, as smaller efficient models (e.g., Llama 2 variants) become available, future platforms might let users run LLMs locally or in a private cloud for data privacy [16].</t>
  </si>
  <si>
    <t>For sensitive use cases, organizations may need enterprise-grade features like private deployments or strict data governance policies.</t>
  </si>
  <si>
    <t>Trade-offs (customizability, scalability, vendor lock-in) are discussed in comparison with traditional and low-code development approaches. | It is crucial to understand the limitations in terms of customizability, performance, scalability, and maintenance when relying on these higher-level tools.</t>
  </si>
  <si>
    <t>In essence, LLMs enable natural language-driven development, turning vague ideas into functional prototypes faster than ever [7].</t>
  </si>
  <si>
    <t>This adds complexity in testing and validation.</t>
  </si>
  <si>
    <t>However, even professional developers may use LLM tools to avoid boilerplate, treating them as accelerators for repetitive patterns [31].</t>
  </si>
  <si>
    <t>We highlight six key capabilities: support for autonomous agents (tool use and multi-step reasoning), memory and knowledge integration, workflow logic and control, integration with external services via APIs, and other notable features (like multimodal inputs or training customization) [3, 8-12, 14, 18].</t>
  </si>
  <si>
    <t>Such platforms often allow switching between providers (OpenAI, Anthropic, etc.) or even using open-source models, which can be beneficial for cost and flexibility. •An emerging aspect is on-device or private LLM support.</t>
  </si>
  <si>
    <t>However, until recently, the complexity of custom logic still posed challenges-anything beyond simple workflows often required some coding or technical expertise.</t>
  </si>
  <si>
    <t>Finally, we outline future directions-including multimodal interfaces, on-device LLMs, and improved orchestration for democratizing app creation with AI.</t>
  </si>
  <si>
    <t>We provide a detailed comparison, highlighting each platform’s strengths and limitations.</t>
  </si>
  <si>
    <t>PDF text extracted from 19 pages; sample evidence page: Not reported.</t>
  </si>
  <si>
    <t>. Trade-offs (customizability, scalability, vendor lock-in) are discussed in comparison with traditional and low-code development approaches. Finally, we outline future directions-including multimodal interfaces, on-device LLMs, and improved orchestration for democratizing app creation with AI. Our findings indicate that while zero-code LLM platforms greatly lower the barrier to creating AI-powered applications, they still face challenges in flexibility and reliability. Overall, the landscape is rapidly evolving, offering exciting opportunities to empower non-programmers to create sophisticated software. Keywords:Large Language Models, Citation Generation, Retrieval-Augmented Generation, AI Ethics, Multimodal LLMs, Evaluation Metrics. 1 Introduction The rise of no-code and low-code development platforms has significantly lowered the barrier for non-programmers to create software [1]. By providing visual interfaces, templates, and pre-built components, these platforms have democratized app development, enabling “citizen developers” to build and deploy applications arXiv:2510.19747v1 [cs.SE] 22 Oct 2025 2 Pattnayak et al. without traditional coding [2]. However, until recently, the complexity of custom logic still posed challenges-anything beyond simple workflows often required some coding or technical expertise. Large Language Models (LLMs) have emerged as a game-changer in t...</t>
  </si>
  <si>
    <t>INTEGRATION</t>
  </si>
  <si>
    <t>VENDOR_LOCKIN</t>
  </si>
  <si>
    <t>Application Development; Priyaranjan Pattnayak1 and Hussain Bohra 2 (2025). Review of Tools for Zero-Code LLM Based Application Development. arXiv:2510.19747v1 [cs.SE] 22 Oct 2025.</t>
  </si>
  <si>
    <t>P010</t>
  </si>
  <si>
    <t>10.LArc_ICSA2025__Towards_AI_powered_consistency_keeping_in_model_based_low_code_platforms.pdf</t>
  </si>
  <si>
    <t>research paper\10.LArc_ICSA2025__Towards_AI_powered_consistency_keeping_in_model_based_low_code_platforms.pdf</t>
  </si>
  <si>
    <t>Towards LLM-powered consistency in model-based low-code platforms</t>
  </si>
  <si>
    <t>Nathan Hagel; Nicolas Hili; Univ. Grenoble Alpes, CNRS</t>
  </si>
  <si>
    <t>2005</t>
  </si>
  <si>
    <t>© 2025 IEEE. Personal use of this material is permitted. Permission from IEEE must be obtained for all other uses, in any current or future media, including reprinting/republishing this</t>
  </si>
  <si>
    <t>LLM, AI, low-code development platform, metamodel, model-driven engineering, DSL, consistency I. I NTRODUCTION To shorten the development time of software applications, low-code platforms can enable citizen developers (developers with little or no software engineering background [1]), such as domain experts, to build functional applications effecti</t>
  </si>
  <si>
    <t>Low-code platforms often use various models that define the application built by citizen developers. With the increasing size and complexity of the applications built using low-code platforms, the number of required models and the dependencies between them expand. However, with increased complexity, keeping these models consistent during the development or evolution of the application is crucial and often a non-trivial task for citizen developers. In this paper, we present four approaches to how LLMs can be used and integrated on the architecture level into low-code platforms to (i) create consistent models automatically, (ii) keep models consistent based on different types of dependencies, and (iii) support users in maintaining consistent models during the development. We implemented the approaches in a prototype and evaluated them in an exploratory study. The results show that state-of-the-art LLMs are capable of preserving consistency for low-code models as well as generating correct and consistent models in various scenarios.</t>
  </si>
  <si>
    <t>AI and automation; Citizen development; Usability and user experience</t>
  </si>
  <si>
    <t>The results show that state-of-the-art LLMs are capable of preserving consistency for low-code models as well as generating correct and consistent models in various scenarios. | In any This work was funded by the Deutsche Forschungsgemeinschaft (DFG, German Research Foundation) - SFB 1608 - 501798263 case, the code is generated from a model-like artifact or a set of artifacts. | We evaluate the approaches in Section V and discuss the findings in Section VI.</t>
  </si>
  <si>
    <t>Towards LLM-powered consistency in model-based low-code platforms 1st Nathan Hagel KASTEL Karlsruhe Institute of Technology Karlsruhe, Germany nathan.hagel@kit.edu 2nd Nicolas Hili Univ.</t>
  </si>
  <si>
    <t>low-code; model-driven engineering</t>
  </si>
  <si>
    <t>Using custom DSLs usually means that a metamodel is defined (e.g., using Eclipse Modeling Framework (EMF) [10] or FlexiMeta [11]) to formalize the DSL.</t>
  </si>
  <si>
    <t>Information Management Neu-Ulm University of Applied Sciences Neu-Ulm, Germany alexander.bartel@hnu.de 4th Anne Koziolek KASTEL Karlsruhe Institute of Technology Karlsruhe, Germany anne.koziolek@kit.edu Abstract-Low-code platforms often use various models that define the application built by citizen developers.</t>
  </si>
  <si>
    <t>ChatGPT</t>
  </si>
  <si>
    <t>In the context of lowcode platforms, the question of how such mechanisms can be integrated and which work best in different scenarios is still an open research question. | Such work would contribute to the research question of which approach is best and when LLMbased consistency preserving mechanisms are applicable.</t>
  </si>
  <si>
    <t>However, it comes with significant challenges, primarily the need for large and often expensive-to-create datasets to achieve effective fine-tuning [15], [16].</t>
  </si>
  <si>
    <t>Additionally, well-formed rules and even relations to other meta-models / meta-classes can be added to a metamodel’s specification, establishing the criteria for valid models.</t>
  </si>
  <si>
    <t>By leveraging LLMs, the development effort required for implementing consistency mechanisms could be significantly reduced while enhancing the tools available for citizen developers and facilitating more efficient application creation.</t>
  </si>
  <si>
    <t>We implemented the approaches in a prototype and evaluated them in an exploratory study.</t>
  </si>
  <si>
    <t>AI-assisted low-code platforms can help citizen developers to create applications faster [4]. | By leveraging LLMs, the development effort required for implementing consistency mechanisms could be significantly reduced while enhancing the tools available for citizen developers and facilitating more efficient application creation.</t>
  </si>
  <si>
    <t>However, with increased complexity, keeping these models consistent during the development or evolution of the application is crucial and often a non-trivial task for citizen developers. | However, keeping the models consistent is still a challenging task.</t>
  </si>
  <si>
    <t>The user can then decide if the change is accepted or ignored while keeping complete control over the models.</t>
  </si>
  <si>
    <t>However, with increased complexity, keeping these models consistent during the development or evolution of the application is crucial and often a non-trivial task for citizen developers.</t>
  </si>
  <si>
    <t>AI-assisted low-code platforms can help citizen developers to create applications faster [4].</t>
  </si>
  <si>
    <t>Therefore, when testing the approaches, we targeted the question, if we can find working prompts for each of these approaches.</t>
  </si>
  <si>
    <t>As low-code platforms target citizen developers with no programming skills, models are often used to abstract away the complexity of writing code manually.</t>
  </si>
  <si>
    <t>In this paper, we present four approaches to how LLMs can be used and integrated on the architecture level into low-code platforms to (i) create consistent models automatically, (ii) keep models consistent based on different types of dependencies, and (iii) support users in maintaining consistent models during the development.</t>
  </si>
  <si>
    <t>This means that the computational overhead and therefore costs introduced to the LCDP is probably higher than with approach A.</t>
  </si>
  <si>
    <t>Index Terms-LLM, AI, low-code development platform, metamodel, model-driven engineering, DSL, consistency I.</t>
  </si>
  <si>
    <t>PDF text extracted from 6 pages; sample evidence page: Not reported.</t>
  </si>
  <si>
    <t>and compare them with alternatives in preserving consistency in LCDPs. As LLMs are capable of generating syntactically correct models in LCDPs [4], [21], [22], and our initial experiments show that this is most likely also the case when generating a set of models with dependencies between each other, using LLMs for consistency preservation in LCDPs seems to be a valid option for platform developers. However, the approaches have a different impact on the platform and how the platforms are used and also require some technical aspects that should be integrated on the architecture level of a LCDP. Previous work [4] showed that adding LLMs in a chat-like interface similar to known providers such as ChatGPT [13] can increase the perceived usability and efficiency of LCDPs. This can be said not only for directly generating models or other artifacts but also for helpful chatbots that answer questions. Extending this work by generating all models and keeping them consistent in the development process should have a similar effect. This means that approach A - generating consistent models or generating the desired change described in natural language (see Figure 1 left side - A) - should be a valid choice for LCDP developers. However, an approach like this can change the use or the process how applications are created in the LCDP. One concern would be that the user could lose the overv...</t>
  </si>
  <si>
    <t>.</t>
  </si>
  <si>
    <t>CITIZEN_DEV</t>
  </si>
  <si>
    <t>Nathan Hagel; Nicolas Hili; Univ. Grenoble Alpes, CNRS (2005). Towards LLM-powered consistency in model-based low-code platforms. © 2025 IEEE. Personal use of this material is permitted. Permission from IEEE must be obtained for all other uses, in any current or future media, including reprinting/republishing this.</t>
  </si>
  <si>
    <t>P011</t>
  </si>
  <si>
    <t>11.Low-Code and No-Code Development in the Era of Artificial Intelligence.pdf</t>
  </si>
  <si>
    <t>research paper\11.Low-Code and No-Code Development in the Era of Artificial Intelligence.pdf</t>
  </si>
  <si>
    <t>10.56294/dm20251218</t>
  </si>
  <si>
    <t>Low-Code and No-Code Development in the Era of Artificial Intelligence: A Systematic Review</t>
  </si>
  <si>
    <t>Systematic Review; Gabriel Luis L. Liwanag1 , Ryan A. Ebardo1 , Danny C. Cheng1</t>
  </si>
  <si>
    <t>2020</t>
  </si>
  <si>
    <t>Journal Article</t>
  </si>
  <si>
    <t>Data and Metadata. 2025; 4:1218; exclusion criteria with PRISMA to arrive at 60 peer-reviewed journals published between 2020 and 2025.; Data and Metadata. 2025; 4:1218. https://doi.org/10.56294/dm20251218</t>
  </si>
  <si>
    <t>Low-Code; No-Code; Development; Innovation; Artificial Intelligence; Citizen Development.</t>
  </si>
  <si>
    <t>Low-code, no-code has transformed software development by enabling non-programmers to build applications through visual interfaces. With the growing integration of artificial intelligence (AI), these platforms are evolving into intelligent environments that accelerate innovation and bridge the global shortage of skilled developers. This significance of this research is it clarifies how AI enhances LCNC development, a field increasingly central to digital transformation and automation. Using the systematic literature review method, the study gathered 1,582 initial records from Scopus, EBSCO, and AISeL, applying inclusion and exclusion criteria with PRISMA to arrive at 60 peer-reviewed journals published between 2020 and 2025. Each article was analyzed in terms of theoretical framework, industry context, development phase AI was integrated, challenges, and opportunities, with data thematically synthesized to trace emerging trends. The research found out that AI’s role in LCNC development is expanding and acting as co-developer increasing software reliability and adaptability. Results show that AI is primarily utilized in the development and maintenance phases of LCNC, functioning as a co-developer that automates code generation, debugging, and optimization. Most studies focus on applications in healthcare, manufacturing, logistics, and education, and finance, while theoretical engagement and diversity across industries remain limited. The study concluded that the convergence of LCNC and AI marks a shift toward intelligent, citizen-driven software development, underscoring...</t>
  </si>
  <si>
    <t>Domain-specific use; Enterprise adoption; Governance and control</t>
  </si>
  <si>
    <t>The research found out that AI’s role in LCNC development is expanding and acting as co-developer increasing software reliability and adaptability. | Results show that AI is primarily utilized in the development and maintenance phases of LCNC, functioning as a co-developer that automates code generation, debugging, and optimization. | The study concluded that the convergence of LCNC and AI marks a shift toward intelligent, citizen-driven software development, underscoring the need for future...</t>
  </si>
  <si>
    <t>INTRODUCTION The emergence of low-code, no-code (LCNC) development platforms creates a revolutionary approach to software creation through democratizing application development by enabling individuals with limited programming expertise to build functional software solutions through visual interfaces and pre-built components.</t>
  </si>
  <si>
    <t>low-code; no-code; LCNC; citizen development; visual programming; model-driven engineering</t>
  </si>
  <si>
    <t>Each article was analyzed in terms of theoretical framework, industry context, development phase AI was integrated, challenges, and opportunities, with data thematically synthesized to trace emerging trends.</t>
  </si>
  <si>
    <t>healthcare; manufacturing; logistics; education; finance; IoT</t>
  </si>
  <si>
    <t>Cheng1 ABSTRACT Low-code, no-code has transformed software development by enabling non-programmers to build applications through visual interfaces.</t>
  </si>
  <si>
    <t>OutSystems; ChatGPT</t>
  </si>
  <si>
    <t>To address the objectives of this SLR, the following research questions will guide the investigation: • Which phase in LCNC development is AI being utilized? • What industries are leveraging AI on LCNC development? • What are the challenges in utilizing AI to LCNC development? • What are the opportunities in utilizing AI to LCNC development? • What are the theoretical approaches in studying LCNC and AI Integration? | which the researchers reviewed the titles and abstracts of the articles to assess alignment with the subject and research questions. | This was subsequently refined further through full-text manual review for relevance to the research questions and objectives.</t>
  </si>
  <si>
    <t>Using the systematic literature review method, the study gathered 1,582 initial records from Scopus, EBSCO, and AISeL, applying inclusion and exclusion criteria with PRISMA to arrive at 60 peer-reviewed journals published between 2020 and 2025.</t>
  </si>
  <si>
    <t>The review aims to trace the evolution of LCNC platforms, from basic visual programming tools to AI-enhanced development environments.</t>
  </si>
  <si>
    <t>The keyword combination ((“low-code” OR “no-code” OR “low code” OR “no code”) AND (“artificial intelligence” OR “AI” OR “machine learning” OR “ML” OR “GenAI” OR “Generative AI” OR “Generative” OR “ChatGPT” OR “OpenAI” OR “LLM” OR “LLMs” OR “large language model”)) was utilized to extract published data from Scopus, EBSCO, and AISeL, which result... | The initial extract yielded 1582 articles from SCOPUS, EBSCO and AISeL where initial review was conducted to assess eligibility based on the following exclusion criteria: • Papers from the last five years were selected, as ChatGPT entered the mainstream in 2021. • Research-in-progress was excluded to ensure that observations and syntheses were c... | The preliminary exclusion resulted in 376 articles considered as eligible articles for detailed screening to https://doi.org/10.56294/dm20251218 3 Liwanag GLL, et al ISSN: 2953-4917 | The review of title and abstract narrowed down to 135 articles.</t>
  </si>
  <si>
    <t>The research found out that AI’s role in LCNC development is expanding and acting as co-developer increasing software reliability and adaptability. | Results show that AI is primarily utilized in the development and maintenance phases of LCNC, functioning as a co-developer that automates code generation, debugging, and optimization. | The study concluded that the convergence of LCNC and AI marks a shift toward intelligent, citizen-driven software development, underscoring the need for future research on theory, governance, and sector-specific best practices.</t>
  </si>
  <si>
    <t>With the growing integration of artificial intelligence (AI), these platforms are evolving into intelligent environments that accelerate innovation and bridge the global shortage of skilled developers. | Con la creciente integración de la inteligencia artificial (IA), estas plataformas están evolucionando hacia entornos inteligentes que aceleran la innovación y reducen la escasez global de desarrolladores especializados.</t>
  </si>
  <si>
    <t>Each article was analyzed in terms of theoretical framework, industry context, development phase AI was integrated, challenges, and opportunities, with data thematically synthesized to trace emerging trends. | However, even these higher-level languages still require substantial knowledge of computer science concepts.(1) Traditional programming, however, remains resource-intensive and dependent on highly skilled developers, contributing to the persistent global shortage of software talent.</t>
  </si>
  <si>
    <t>Maintenance / Operations Monitoring(15,27,36) Updates(18,28,37) Security Patches(20,38) Ongoing Security and Governance(29,38,39) Performance Optimization(33,34,36) User Support(18,32,40) Continuous Improvement(16,37,41) 21 out of 60 (35 %) Industries leveraging AI for LCNC development A variety of industries are tapping into AI-driven LCNC solutions, underscoring the broad applicability and versatility of these platforms.</t>
  </si>
  <si>
    <t>The study concluded that the convergence of LCNC and AI marks a shift toward intelligent, citizen-driven software development, underscoring the need for future research on theory, governance, and sector-specific best practices.</t>
  </si>
  <si>
    <t>First, it provides an up-to-date analysis of LCNC platforms in the context of emerging AI capabilities as existing reviews have focused primarily on LCNC alone.(3,4,5,6) For example, the review of Ajimati et al.(3) emphasizes the perspective of citizen development (CD), suggesting that future research should develop empirical, quantitative case studies to measure real-world performance outcomes of LCNC/CD adoption, formulate governance and compliance frameworks for managing citizen development effectively, and explore strategies to bridge th... | Results show that AI is primarily utilized in the development and maintenance phases of LCNC, functioning as a co-developer that automates code generation, debugging, and optimization.</t>
  </si>
  <si>
    <t>(33,44) Within manufacturing, researchers demonstrate how AI-integrated LCNC platforms facilitate predictive maintenance, real-time monitoring, and streamlined production status assessment.(15,45) The logistics sector harnesses AI and LCNC for automating complex processes such as shipment tracking, warehouse management, and supply chain optimization, thereby reducing operational costs and errors.(18) Beyond these domains, AI-enabled LCNC is also used in education, where it helps the creation of interactive learning modules, personalized asse...</t>
  </si>
  <si>
    <t>This convergence represents a new frontier in software development, where AI-powered features such as natural language processing for requirements gathering, component suggestions, and automated testing are revolutionizing how applications are built.</t>
  </si>
  <si>
    <t>The rise of LCNC platforms is advantageous given the current global shortage of professional developers.</t>
  </si>
  <si>
    <t>Most studies focus on applications in healthcare, manufacturing, logistics, and education, and finance, while theoretical engagement and diversity across industries remain limited.</t>
  </si>
  <si>
    <t>2025; 4:1218 doi: 10.56294/dm20251218 SYSTEMATICC REVIEW Low-Code and No-Code Development in the Era of Artificial Intelligence: A Systematic Review Gabriel Luis L.</t>
  </si>
  <si>
    <t>However, even these higher-level languages still require substantial knowledge of computer science concepts.(1) Traditional programming, however, remains resource-intensive and dependent on highly skilled developers, contributing to the persistent global shortage of software talent.</t>
  </si>
  <si>
    <t>The scholarly work was primarily derived from SCOPUS, EBSCO, and AISeL, and was limited to completed, English-written journal articles and conference proceedings. As a result, non-English data, non-indexed journals, and in-progress work were excluded from the study, potentially omitting valuable perspectives from other contexts. Grey literature was also not considered, despite the abundance of works on LCNC and AI in such publications. This exclusion was due to the researchers’ focus on peer-reviewed journals, which may limit the observation of emerging or practice-focused innovations in LCNC and AI. The studies collected were further limited to a five-year scope, reflecting the relevance of recent developments in LCNC and AI integration, as AI gained mainstream attention following the launch of ChatGPT by OpenAI in 2022; (9,10) while AI and LLMs were mentioned in 2021, no relevant studies were found for 2020. Gaps and Agenda for Future Research Several studies have addressed how AI influences LCNC development, but empirical validation of AI’s effectiveness across pre-, during, and post-development phases remains scarce. (14,16) Clarifying the actual benefits of AI integration is crucial to determine whether industries genuinely reap productivity and costsavings gains or if they are merely following a trend.(13) Future research could apply controlled experiments or longitudi...</t>
  </si>
  <si>
    <t>on theory, governance, and sector-specific best practices. Keywords: Low-Code; No-Code; Development; Innovation; Artificial Intelligence; Citizen Development. RESUMEN El desarrollo low-code y no-code ha transformado la creación de software al permitir que personas sin conocimientos avanzados de programación construyan aplicaciones mediante interfaces visuales. Con la creciente integración de la inteligencia artificial (IA), estas plataformas están evolucionando hacia entornos inteligentes que aceleran la innovación y reducen la escasez global de desarrolladores especializados. La importancia de esta investigación radica en que aclara cómo la IA potencia el desarrollo LCNC, un campo cada vez más central en la transformación digital y la automatización. Mediante el método de revisión sistemática de la literatura (SLR), el estudio recopiló 1 582 registros iniciales de Scopus, EBSCO y AISeL, aplicando criterios de inclusión y exclusión bajo el enfoque PRISMA hasta llegar a 60 artículos...</t>
  </si>
  <si>
    <t>DOMAIN_SPECIFIC</t>
  </si>
  <si>
    <t>Systematic Review; Gabriel Luis L. Liwanag1 , Ryan A. Ebardo1 , Danny C. Cheng1 (2020). Low-Code and No-Code Development in the Era of Artificial Intelligence: A Systematic Review. Data and Metadata. 2025; 4:1218; exclusion criteria with PRISMA to arrive at 60 peer-reviewed journals published between 2020 and 2025.; Data and Metadata. 2025; 4:1218. https://doi.org/10.56294/dm20251218.</t>
  </si>
  <si>
    <t>https://doi.org/10.56294/dm20251218</t>
  </si>
  <si>
    <t>P012</t>
  </si>
  <si>
    <t>12.Information Systems Journal - 2025 - Viljoen - Navigating Flexibility and Standardisation in Low‐Code No‐Code Development.pdf</t>
  </si>
  <si>
    <t>research paper\12.Information Systems Journal - 2025 - Viljoen - Navigating Flexibility and Standardisation in Low‐Code No‐Code Development.pdf</t>
  </si>
  <si>
    <t>10.1111/isj.70001</t>
  </si>
  <si>
    <t>Navigating Flexibility and Standardisation in Low‐Code/No‐Code Development</t>
  </si>
  <si>
    <t>Low- Code/No- Code Development; Altus Viljoen 1 | Benedikt Stelzl 2 | Maoying Yang 3 | John Nguyen 1 | Andreas Hein 4 | Edona Elshan 5 | Helmut Krcmar 1; Received: 5 July 2024 | Revised: 17 May 2025 | Accepted: 2 June 2025</t>
  </si>
  <si>
    <t>2026</t>
  </si>
  <si>
    <t>Information Systems Journal, 2026; 36:95-109; Information Systems Journal; © 2025 The Author(s). Information Systems Journal published by John Wiley &amp; Sons Ltd.</t>
  </si>
  <si>
    <t>Wiley</t>
  </si>
  <si>
    <t>citizen development | flexibility | IT governance | low- code development platform | no- code | paradoxical tension | ServiceNow | standardisation</t>
  </si>
  <si>
    <t>Low- code/no- code (LCNC) platforms, such as ServiceNow and Microsoft Power Platform, enable employees without formal IT training to build applications and automate workflows, thus driving agility and reducing dependence on traditional IT teams. However, LCNC platforms also pose a persistent challenge for organisations: while they offer flexibility and freedom by enabling decentralised development, they also require standardisation and control to manage risks that can be exacerbated by these platforms, such as shadow IT and technical debt. Striking the right balance is difficult-too much flexibility can compro - mise stability, while too much standardisation can stifle the autonomy and creativity that make LCNC platforms valuable in the first place. This study explores flexibility-standardisation tensions in LCNC development through an investigation of two multinational technology firms with differing LCNC maturity levels, both using ServiceNow. Drawing from 57 interviews, we identify three types of flexibility- standardisation tensions shaped by three key elements of LCNC development: the platform itself, the people using the platform and the organisational processes targeted for improvement. We derive six guidelines used to navigate flexibility-standardisation tensions and demonstrate how these are applied across different stages of LCNC maturity. Building on these insights, we provide concrete, context- sensitive recommendations to help organisations adapt the guidelines to their specific environments. We conclude with forward- looking reflections on how firms can dyn...</t>
  </si>
  <si>
    <t>Enterprise adoption</t>
  </si>
  <si>
    <t>Platform comparison; Governance and control; Citizen development</t>
  </si>
  <si>
    <t>We derive six guidelines used to navigate flexibility-standardisation tensions and demonstrate how these are applied across different stages of LCNC maturity. | Overall, our findings show that effective LCNC governance requires a dynamic approach-one that balances flexibility and standardisation simultaneously rather than treating them as opposing choices. | We demonstrate how these tensions arise at the intersec - tions of these elements.</t>
  </si>
  <si>
    <t>LCNC; citizen development; visual programming</t>
  </si>
  <si>
    <t>For example, SoftCo's foundation for ITSM is based on the Information Technology Infrastructure Library (ITIL), a framework of standardised best practices for ITSM that helps organisations align their IT services with business needs (Susnjara and Smalley 2024).</t>
  </si>
  <si>
    <t>Interview</t>
  </si>
  <si>
    <t>healthcare; manufacturing; education; finance</t>
  </si>
  <si>
    <t>These platforms enable non- technical employees, often referred to as ‘citizen developers’ (Hoogsteen and Borgman 2022), to create applications or workflows independently through user- friendly interfaces and pre- configured features (Bock and Frank 2021).</t>
  </si>
  <si>
    <t>Power Apps; Mendix; OutSystems</t>
  </si>
  <si>
    <t>1 | Introduction Low- code/no- code (LCNC) development platforms , such as ServiceNow, Microsoft Power Platform and Mendix, are increasingly recognised as essential tools for advancing digital transformation, as 80% of companies identify LCNC platforms as relevant for accelerating software development (Gonçalves et al.</t>
  </si>
  <si>
    <t>Our analysis also highlights how the two organisations approach these challenges differently, based on their respec - tive LCNC maturity levels.</t>
  </si>
  <si>
    <t>Drawing from 57 interviews, we identify three types of flexibility- standardisation tensions shaped by three key elements of LCNC development: the platform itself, the people using the platform and the organisational processes targeted for improvement. | 1 | Introduction Low- code/no- code (LCNC) development platforms , such as ServiceNow, Microsoft Power Platform and Mendix, are increasingly recognised as essential tools for advancing digital transformation, as 80% of companies identify LCNC platforms as relevant for accelerating software development (Gonçalves et al.</t>
  </si>
  <si>
    <t>However, LCNC platforms also pose a persistent challenge for organisations: while they offer flexibility and freedom by enabling decentralised development, they also require standardisation and control to manage risks that can be exacerbated by these platforms, such as shadow IT and technical debt. | However, the adoption of LCNC platforms in organisations presents an interesting tension: balancing the flexibility that drives LCNC platforms' value with the need for standardisa - tion and control to mitigate their associated risks.</t>
  </si>
  <si>
    <t>Initially focused on IT Service Management (ITSM), ServiceNow has expanded to offer solutions across various functions, including IT Operations Management (ITOM), Customer Service Management (CSM), HR Service Delivery (HRSD), Security Operations (SecOps), Governance, Risk and Compliance (GRC) and Finance and Supply Chain Management.</t>
  </si>
  <si>
    <t>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 IT training to build applications and automate wo...</t>
  </si>
  <si>
    <t>LCNC initiatives' scalability : LCNC applications and initiatives are easier to maintain and scale when developed according to predefined guidelines or guardrails (Binzer et al. | However, due to the ‘black box’ nature of GenAI out - puts, guardrails are needed to ensure the quality, compliance and maintainability of AI- generated artefacts.</t>
  </si>
  <si>
    <t>On the one hand, GenAI can enhance flexibility by enabling faster prototyp - ing and workflow generation, particularly for non- technical users.</t>
  </si>
  <si>
    <t>Moreover, both organisations emphasised that ServiceNow's controlled environments, such as testing and production, play a vital role in supporting stages of the software development lifecycle that go well beyond initial prototyping in personal de - velopment instances.</t>
  </si>
  <si>
    <t>In addition to citizen developers, LCNC development can also involve other stakeholders, for example, stakeholders from tra - ditional IT units (e.g., professional developers, platform archi - tects, etc.) who can use these platforms or be involved in their organisational implementation (Binzer et al.</t>
  </si>
  <si>
    <t>2024) and offering standardised education and training programmes (Elshan et al.</t>
  </si>
  <si>
    <t>Technical debt: Sub- par or fragmented applications developed by non- IT employees may require extensive and costly maintenance and optimization, undermining LCNC platforms' intention of reducing development overhead (Elshan et al.</t>
  </si>
  <si>
    <t>However, LCNC platforms also pose a persistent challenge for organisations: while they offer flexibility and freedom by enabling decentralised development, they also require standardisation and control to manage risks that can be exacerbated by these platforms, such as shadow IT and technical debt.</t>
  </si>
  <si>
    <t>The company specialises in enterprise software solutions and provides a comprehensive suite of products that enable organisations to manage critical business functions such as finance and supply chain operations.</t>
  </si>
  <si>
    <t>, where further improvement isn't possible’. 4.2 | People- Platform Tension This type of tension revolves around balancing user autonomy to build applications or improve workflows while ensuring there are technical safeguards in place. On the one hand, a great deal of the value of LCNC development lies in the empowerment as - pect of citizen developers, as one citizen developer at TechCo explained: ‘Now I feel like I'm part of the magic-I can do a lot on my own without needing much scripting knowledge. In EasyHR, I'm now able to do things that are quite similar to what my col - leagues in IT can do. It really feels like we're on the same level and can collaborate as equals’. However, a lack of guardrails for citizen developers can lead to issues such as poorly designed ap - plications, data breaches, or other inefficiencies. A SoftCo developer noted: ‘If people with little or no programming experience start developing applications and have unrestricted access to company data-without fully understanding what they're doing or how the tools work-it can quickly become a serious problem. For example, sensitive data might be unintentionally exposed externally, which is obviously something you want to avoid’. 4.3 | Process- People Tension While this tension type is highly relevant to LCNC development, it also extends beyond LCNC development to the broader organisational domain, as...</t>
  </si>
  <si>
    <t>Finally, we outline the underlying causes and potential responses to the tensions and we highlight that further research is needed to un - derstand how firms navigate them effectively.</t>
  </si>
  <si>
    <t>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t>
  </si>
  <si>
    <t>Low- Code/No- Code Development; Altus Viljoen 1 | Benedikt Stelzl 2 | Maoying Yang 3 | John Nguyen 1 | Andreas Hein 4 | Edona Elshan 5 | Helmut Krcmar 1; Received: 5 July 2024 | Revised: 17 May 2025 | Accepted: 2 June 2025 (2026). Navigating Flexibility and Standardisation in Low‐Code/No‐Code Development. Information Systems Journal, 2026; 36:95-109; Information Systems Journal; © 2025 The Author(s). Information Systems Journal published by John Wiley &amp; Sons Ltd..</t>
  </si>
  <si>
    <t>https://doi.org/10.1111/isj.70001</t>
  </si>
  <si>
    <t>P013</t>
  </si>
  <si>
    <t>13.Bridging Business and IT Through Low-Code No-Code.pdf</t>
  </si>
  <si>
    <t>research paper\13.Bridging Business and IT Through Low-Code No-Code.pdf</t>
  </si>
  <si>
    <t>Bridging Business and IT Through Low-Code/No-Code: Insights into Business-IT Collaboration in Enterprise Citizen Developer Programs Björn Binzer</t>
  </si>
  <si>
    <t>Business-IT Collaboration in Enterprise Citizen Developer Programs; Björn Binzer; Freie Universität Berlin; Till J. Winkler</t>
  </si>
  <si>
    <t>Conference Paper</t>
  </si>
  <si>
    <t>Proceedings of the 58th Hawaii International Conference on System Sciences | 2025</t>
  </si>
  <si>
    <t>Citizen Development, Democratization of IT, Low-Code, Business-IT Collaboration 1.</t>
  </si>
  <si>
    <t>As low -code/no-code citizen development programs become more prevalent, aiming to upskill the workforce and enhance digital literacy, a new approach to collaboration between business units and IT units is essential. To explore the nature and architecture of these programs, we conducted a multicase study involving 18 firms and interviewed 22 individuals leading or shaping their respective initiatives. Our analysis revealed 20 measures, categorized into five key collaboration mechanisms: self-empowerment, id eation generation, coordinated scaling, project execution, and professional catalyst. Additionally, we identified four distinct modes of business-IT collaboration within the context of citizen development. Our contribution is two-fold: this study provides comprehensive insights into the operational dynamics of citizen development programs, which remain under -explored, and it offers practical guidance for fostering business-IT collaboration.</t>
  </si>
  <si>
    <t>Our analysis revealed 20 measures, categorized into five key collaboration mechanisms: self-empowerment, id eation generation, coordinated scaling, project execution, and professional catalyst. | In Section 4, we present our findings, followed by a discussion in Section 5. | Though, despite these findings, no research has studied business -IT collaboration at the operational level yet.</t>
  </si>
  <si>
    <t>Low-Code Development Platforms -A Literature Review.</t>
  </si>
  <si>
    <t>Building digital capability and literacy across the organization, where software is part of nearly everything that we do - it’s a core part of our business.” (I1; Citizen Development lead) Leveraging recent advancements in artificial intelligence and cloud computing, low -code/no-code (LCNC) platforms such as OutSystems, Microsoft’s Power Platform and Mendix aim to radically simplify software development.</t>
  </si>
  <si>
    <t>low-code; no-code; LCNC; citizen development; end-user development</t>
  </si>
  <si>
    <t>(1994) proposed a framework to ensure high-quality software, while Huff et al.</t>
  </si>
  <si>
    <t>healthcare; manufacturing; logistics; education; finance; climate</t>
  </si>
  <si>
    <t>Bridging Business and IT Through Low-Code/No-Code: Insights into Business-IT Collaboration in Enterprise Citizen Developer Programs Björn Binzer University of Hagen bjoern.binzer@fernuni-hagen.de Daniel Fürstenau Freie Universität Berlin daniel.fuerstenau@fu-berlin.de Till J.</t>
  </si>
  <si>
    <t>Mendix; OutSystems</t>
  </si>
  <si>
    <t>To address our research question, we conducted 22 interviews with individuals involved in citizen development programs. | Data Collection To address our research question regarding business-IT collaboration in citizen development programs, we conducted an interview study employing different moves in a qualitative analysis (Grodal et al., 2021), as explained next.</t>
  </si>
  <si>
    <t>Unlike remote learning from the self-empowerment mechanism, these events are highly interactive and require participants to be actively involved in real-time problem-solving and collaboration.</t>
  </si>
  <si>
    <t>For instance, F4 has launched their ‘Citizen Developer Pioneering Program’, where selected employees work intensively on their use cases under the supervision and guidance of experienced IT professionals (I4).</t>
  </si>
  <si>
    <t>These citizen developers can emerge in various roles, from a marketer building an app to organize business cards to a business analyst developing a tool to collect and manage internal requests from colleagues.</t>
  </si>
  <si>
    <t>For example, firm F1 emphasized self-empowerment (absolute: 4; relative: 26.67%), ideation generation (abs.: 4; rel.: 26.67%) and coordinated scaling (abs.: 4; rel.: 26.67%) while placing less emphasis on project execution ( abs.: 1; rel.: 6.67%) and professional catalyst (abs.: 2; rel.: 13.33%), suggesting a preference for BU autonomy over IT u...</t>
  </si>
  <si>
    <t>Our analysis revealed 20 measures, categorized into five key collaboration mechanisms: self-empowerment, id eation generation, coordinated scaling, project execution, and professional catalyst.</t>
  </si>
  <si>
    <t>Our analysis revealed 20 measures, categorized into five key collaboration mechanisms: self-empowerment, id eation generation, coordinated scaling, project execution, and professional catalyst. | LCNC not only accelerates development efforts for professional developers (Trigo et al., 2022) but also democratizes software development (Binzer &amp; Winkler, 2022).</t>
  </si>
  <si>
    <t>However, the process of refining and understanding the business requirements often causes delays, leading to frustration and strained relationships (Klotz et al., 2019). | To address these challenges, many firms across various industries have launched citizen development programs aimed at upskilling and empowering employees on a large scale.</t>
  </si>
  <si>
    <t>It also emphasizes procedural guidance, helping citizen developers navigate compliance and security requirements to support top-down governance.</t>
  </si>
  <si>
    <t>It is crucial for scaling the adoption of LCNC platforms in a manner that maintains governance and manages risks effectively.</t>
  </si>
  <si>
    <t>Professional developers then leverage LCNC platforms and may integrate other technologies to enhance scalability and impact, thereby widening the reach and applicability of innovative projects across the organization. | This concern primarily stemmed from issues related to the quality, documentation and maintenance of user-developed applications (Amoroso, 1988).</t>
  </si>
  <si>
    <t>As citizen development programs evolve, some BUs adopt these practices faster than others.</t>
  </si>
  <si>
    <t>LCNC not only accelerates development efforts for professional developers (Trigo et al., 2022) but also democratizes software development (Binzer &amp; Winkler, 2022).</t>
  </si>
  <si>
    <t>Firm Interviewees Industry F1 Citizen Development Lead (I1) Energy &amp; Utilities F2 Lead Architect LCNC (I2) Energy &amp; Utilities F3 Citizen Development Lead (I3) Energy &amp; Utilities F4 Product Owner LCNC (I4) Energy &amp; Utilities F5 Product Owner LCNC (I5) Community Caretaker (I6) Energy &amp; Utilities F6 Citizen Development Lead (I7) Business Leader (I8) Product Manager (I9) Manufacturing F7 Citizen Development Lead (I10) Manufacturing F8 Power Platform Expert (I11) Manufacturing F9 Head of Customer Solutions (I12) Manufacturing F10 Product Owner LC...</t>
  </si>
  <si>
    <t>They play a vital role in fostering collaboration in the digital era , driving BU innovation (Bertels et al., 2011) and achieving cost savings (Wenger &amp; Snyder, 2000).</t>
  </si>
  <si>
    <t>Furthermore, our findings provide novel insights, inspiration, and comparison opportunities for practitioners looking to initiate or refine their citizen development programs.</t>
  </si>
  <si>
    <t>PDF text extracted from 10 pages; sample evidence page: Not reported.</t>
  </si>
  <si>
    <t>of LCNC platforms within the corporate context (I2, I8). It also helps maintain an overview of developments within the LCNC platform (I15). By fostering synergies and enabling architectural interventions, pre-reviews ensure a strategic alignment of use cases, as explained by the leader for citizen development (I15) at F12: ‘[With pre-reviews,] we steer the use cases in the right direction and ensure we have a certain level of oversight regarding what we want on the platform and what might be better elsewhere’. Page 456 Another project-based measure is the formalized program, where employees dedicate a limited period, often several weeks to months, to upskill through an official learning program (I3, I4). To participate, citizen developers often must apply with a real -life use case or idea that has an immediate impact on their job. For instance, F4 has launched their ‘Citizen Developer Pioneering Program’, where selected employees work intensively on their use cases under the supervision and guidance of experienced IT professionals (I4). Next, u nlike the formalized program, funding involves allocating time and resources to use cases with high potential and impact. Here, s ponsors are vital for providing the necessary resources and support (I3). Additionally, there might be a rather competitive element where citizen developers compete to secure funding for their projects (I1...</t>
  </si>
  <si>
    <t>. It encourages researchers to better comprehend the paradigm shift in business-IT governance , particularly within the context of a digitally adept workforce spread across all BUs. Moreover, as indicated, some BUs have actively led their own citizen development sub -strategies (F1, F6), suggesting a potential avenue for future research on business-led citizen development. This perspective offers a different view on authority and governance. However, due to its novelty, collaboration must be also investigated long-term. For example, citizen developers might stop collaborating or ignore any collaborative attempts by the IT unit. Thus, an ‘ exit strategy’ (additional mechanism) might be necessary. This study does not come without limitations. Despite adhering to qualitative research good practices (Saldaña, 2021) , our data relies on the subjective perceptions and statements of individual informants. Additionally, we did not include cases from smaller firms in our data collection. Con...</t>
  </si>
  <si>
    <t>Our contribution is two-fold: this study provides comprehensive insights into the operational dynamics of citizen development programs, which remain under -explored, and it offers practical guidance for fostering business-IT collaboration.</t>
  </si>
  <si>
    <t>Business-IT Collaboration in Enterprise Citizen Developer Programs; Björn Binzer; Freie Universität Berlin; Till J. Winkler (2020). Bridging Business and IT Through Low-Code/No-Code: Insights into Business-IT Collaboration in Enterprise Citizen Developer Programs Björn Binzer. Proceedings of the 58th Hawaii International Conference on System Sciences | 2025.</t>
  </si>
  <si>
    <t>P014</t>
  </si>
  <si>
    <t>14.Democratizing Digital Transformation..pdf</t>
  </si>
  <si>
    <t>research paper\14.Democratizing Digital Transformation..pdf</t>
  </si>
  <si>
    <t>10.3390/app15126481</t>
  </si>
  <si>
    <t>Democratizing Digital Transformation: A Multisector Study of Low-Code Adoption Patterns, Limitations, and Emerging Paradigms</t>
  </si>
  <si>
    <t>A Multisector Study of Low-Code; Adoption Patterns, Limitations, and; Emerging Paradigms. Appl. Sci. 2025,; Licensee MDPI, Basel, Switzerland.</t>
  </si>
  <si>
    <t>low-code; digital transformation; industry applications 1.</t>
  </si>
  <si>
    <t>Low-code development platforms (LCDPs) have emerged as transformative tools for accelerating digital transformation across industries by enabling rapid application development with minimal hand-coding. This paper synthesizes existing research and industry practices to explore the adoption, benefits, challenges, and future directions of low-code technologies in key sectors: automotive, equipment manufacturing, aerospace, electronics, and energy. Drawing on academic literature, industry reports, and case studies, this review highlights how low-code bridges the gap between IT and domain experts while addressing sector-specific demands. The study emphasizes the significant impact of LCDPs on operational efficiency, innovation acceleration, and the democratization of software development. However, it also identifies critical challenges related to customization, interoperability, security, and usability. The paper concludes with a discussion of emerging trends, including enhanced AI/ML integration, edge computing, open-source ecosystems, and sector-specific platform evolution, which are poised to shape the future of low-code development. Ultimately, this research underscores the potential of low-code platforms to drive sustainable digital transformation while addressing the complex needs of modern industries.</t>
  </si>
  <si>
    <t>Enterprise adoption; Maintainability; Governance and control</t>
  </si>
  <si>
    <t>This work thus aims to provide a comprehensive and structured foundation for future research and practical deployment of low-code systems in industrial digital transformation contexts. | Section 5 offers a cross-sector discussion synthesizing strategic insights, and Section 6 concludes the paper by summarizing key findings and suggesting directions for future research. | While platforms such as Mendix demonstrate strong capabilities in prototyping, automotive manufacturers exhibit reservation...</t>
  </si>
  <si>
    <t>Communication Democratizing Digital Transformation: A Multisector Study of Low-Code Adoption Patterns, Limitations, and Emerging Paradigms Zhengwu Shi , Junyu Dong and Yanhai Gan * The Faculty of Information Science and Engineering, Ocean University of China, Qingdao 266100, China; shizhengwu@stu.ouc.edu.cn (Z.S.); dongjunyu@ouc.edu.cn (J.D.) * Correspondence: ganyanhai@ouc.edu.cn Abstract: Low-code development platforms (LCDPs) have emerged as transformative tools for accelerating digital tr...</t>
  </si>
  <si>
    <t>These issues underscore the need for governance frameworks, such as the Adaptive Integrated Digital Architecture Framework (AIDAF), which harmonize low-code initiatives with enterprise-wide IT strategies to mitigate risks and ensure long-term adaptability [22].</t>
  </si>
  <si>
    <t>healthcare; manufacturing; education; IoT</t>
  </si>
  <si>
    <t>Drawing on academic literature, industry reports, and case studies, this review highlights how low-code bridges the gap between IT and domain experts while addressing sector-specific demands.</t>
  </si>
  <si>
    <t>To guide this study, we pose the following core research questions: RQ1: How are low-code development platforms currently being adopted across diverse industrial sectors such as automotive, aerospace, energy, electronics, and equipment manufacturing? | RQ2: What are the primary technical and operational limitations encountered in deploying low-code platforms in mission-critical industrial environments? | RQ3: What emerging trends and innovations are shaping the future evolution of low-code technologies?</t>
  </si>
  <si>
    <t>Similarly, a recent head -to-head benchmarking study finds that, although low-code environments enforce consistent design patterns-thereby reducing</t>
  </si>
  <si>
    <t>The selected platforms-ranging from enterprise-grade solutions like OutSystems and Mendix to specialized tools such as Huawei AppCube and UI Bakery-reflect the diversity of LCDP offerings in both functionality and industrial focus.</t>
  </si>
  <si>
    <t>Opto 22’s case study demonstrates that Node-RED’s low-code platform has enhanced the development efficiency of industrial automation projects by over 50%, significantly reducing project delivery time and enabling rapid ROI through real-time data integration and protocol conversion, as reported by the company. | Company Application Scenario Manpower Reduction Time Savings Cost Savings New Oriental (Beijing, China) WeChat-based study room booking system 50% reduction, 80% backend labor saved via component reuse 50% faster delivery, 30-50% maintenance time reduction $72,000 development cost savings, $50,000+ annual IT budget reduction Mercedes-Benz (Lisbo... | Case studies have shown that organizations adopting Pega platform’s low-code development framework attained a 598% return on investment (ROI) within three years, while recovering implementation costs in fewer than three months [37].</t>
  </si>
  <si>
    <t>This work thus aims to provide a comprehensive and structured foundation for future research and practical deployment of low-code systems in industrial digital transformation contexts. | Section 5 offers a cross-sector discussion synthesizing strategic insights, and Section 6 concludes the paper by summarizing key findings and suggesting directions for future research. | While platforms such as Mendix demonstrate strong capabilities in prototyping, automotive manufacturers exhibit reservations regarding their security and interoperability.</t>
  </si>
  <si>
    <t>Communication Democratizing Digital Transformation: A Multisector Study of Low-Code Adoption Patterns, Limitations, and Emerging Paradigms Zhengwu Shi , Junyu Dong and Yanhai Gan * The Faculty of Information Science and Engineering, Ocean University of China, Qingdao 266100, China; shizhengwu@stu.ouc.edu.cn (Z.S.); dongjunyu@ouc.edu.cn (J.D.) * Correspondence: ganyanhai@ouc.edu.cn Abstract: Low-code development platforms (LCDPs) have emerged a... | This paper synthesizes existing research and industry practices to explore the adoption, benefits, challenges, and future directions of low-code technologies in key sectors: automotive, equipment manufacturing, aerospace, electronics, and energy.</t>
  </si>
  <si>
    <t>Democratizing Digital Transformation: A Multisector Study of Low-Code Adoption Patterns, Limitations, and Emerging Paradigms. | Communication Democratizing Digital Transformation: A Multisector Study of Low-Code Adoption Patterns, Limitations, and Emerging Paradigms Zhengwu Shi , Junyu Dong and Yanhai Gan * The Faculty of Information Science and Engineering, Ocean University of China, Qingdao 266100, China; shizhengwu@stu.ouc.edu.cn (Z.S.); dongjunyu@ouc.edu.cn (J.D.) * Correspondence: ganyanhai@ouc.edu.cn Abstract: Low-code development platforms (LCDPs) have emerged a...</t>
  </si>
  <si>
    <t>However, it also identifies critical challenges related to customization, interoperability, security, and usability.</t>
  </si>
  <si>
    <t>Additionally, reliance on proprietary platforms raises concerns about vendor lock-in and interoperability, as organizations risk becoming dependent on closed ecosystems that limit customization and scalability [21]. | Technical and Maintainability Challenges Low-code platforms, by design, promote rapid application assembly through visual modeling and pre -built components.</t>
  </si>
  <si>
    <t>Company Application Scenario Manpower Reduction Time Savings Cost Savings New Oriental (Beijing, China) WeChat-based study room booking system 50% reduction, 80% backend labor saved via component reuse 50% faster delivery, 30-50% maintenance time reduction $72,000 development cost savings, $50,000+ annual IT budget reduction Mercedes-Benz (Lisbon, Portugal) Customer complaint management system 66% reduction, 50% development team downsizing 60% faster deployment, 50% third-party collaboration time reduction $116,000 annual labor cost savings,...</t>
  </si>
  <si>
    <t>2025, 15, 6481 3 of 17 Traditional Code Process Low Code Process Requirement Analysis Technology Selection System Architecture Design Manual Coding Unit Test Integration Testing Deployment and Operations Visual Modeling Drag-and-Drop Configuration Business Rule Definition Code Autogeneration One-click Testing Automatic Deployment Time development More Manual Coding and Time Figure 1.</t>
  </si>
  <si>
    <t>By leveraging drag-and-drop interfaces, prebuilt templates, and modular components, these platforms empower both professional developers and non-technical users (referred to as “citizen developers”-business users without formal programming training who build applications to solve domain-specific problems) to rapidly build applications tailored to specific business needs (as shown in Figure 1).</t>
  </si>
  <si>
    <t>These cases span multiple sectors-including education, automotive, public services, and government IT-demonstrating the versatility and economic potential of low-code solutions.</t>
  </si>
  <si>
    <t>Enhanced AI/ML Integration for Autonomous Decision-Making Future low-code platforms will increasingly embed artificial intelligence (AI) and machine learning (ML) modules to automate complex workflows [ 69-71].</t>
  </si>
  <si>
    <t>Low-Code Platform Core Features Target Domains Technical Architecture Strengths Limitations OutSystems Full-stack development, AI-assisted code generation, multi-cloud deployment, CI/CD pipeline integration Enterprise systems, missioncritical applications Cloud-native architecture with hybrid deployment High scalability, GDPR compliance, enterprise-grade governance High licensing costs, steep learning curve for non-technical users Mendix Collaborative visual modeling, multi-experience apps, agile project management Cross-team enterprise coll...</t>
  </si>
  <si>
    <t>This comparison includes key features, target domains, underlying technical architectures, strengths, and notable limitations.</t>
  </si>
  <si>
    <t>PDF text extracted from 17 pages; sample evidence page: Not reported.</t>
  </si>
  <si>
    <t>, and Emerging Paradigms. Appl. Sci. 2025, 15, 6481. https://doi.org/10.3390/ app15126481 Copyright: © 2025 by the authors. Licensee MDPI, Basel, Switzerland. This article is an open access article distributed under the terms and conditions of the Creative Commons Attribution (CC BY) license (https://creativecommons.org/ licenses/by/4.0/). Communication Democratizing Digital Transformation: A Multisector Study of Low-Code Adoption Patterns, Limitations, and Emerging Paradigms Zhengwu Shi , Junyu Dong and Yanhai Gan * The Faculty of Information Science and Engineering, Ocean University of China, Qingdao 266100, China; shizhengwu@stu.ouc.edu.cn (Z.S.); dongjunyu@ouc.edu.cn (J.D.) * Correspondence: ganyanhai@ouc.edu.cn Abstract: Low-code development platforms (LCDPs) have emerged as transformative tools for accelerating digital transformation across industries by enabling rapid application development with minimal hand-coding. This paper synthesizes existing research and industry practices to explore the adoption, benefits, challenges, and future directions of low-code technologies in key sectors: automotive, equipment manufacturing, aerospace, electronics, and energy. Drawing on academic literature, industry reports, and case studies, this review highlights how low-code bridges the gap between IT and domain experts while addressing sector-specific demands. The study emphasizes...</t>
  </si>
  <si>
    <t>and practical deployment of low-code systems in industrial digital transformation contexts. To provide a structured understanding of this work, the remainder of this article is organized as follows: Section 2 examines the sector-specific applications of low-code platforms across five major industries-automotive, equipment manufacturing, aerospace, electronics, and energy. Section 3 explores key technical and operational challenges that hinder broader adoption, including limitations in customization, interoperability, security, usability, and scalability. Section 4 outlines emerging trends and innovations that are shaping the future of low-code technologies, such as AI/ML integration, edge computing, open-source ecosystems, and sector-specific platform evolution. Section 5 offers a cross-sector discussion synthesizing strategic insights, and Section 6 concludes the paper by summarizing key findings and suggesting directions for future research. Appl. Sci. 2025, 15, 6481 3 of 17 Tradi...</t>
  </si>
  <si>
    <t>A Multisector Study of Low-Code; Adoption Patterns, Limitations, and; Emerging Paradigms. Appl. Sci. 2025,; Licensee MDPI, Basel, Switzerland. (2025). Democratizing Digital Transformation: A Multisector Study of Low-Code Adoption Patterns, Limitations, and Emerging Paradigms. Licensee MDPI, Basel, Switzerland..</t>
  </si>
  <si>
    <t>https://doi.org/10.3390/app15126481</t>
  </si>
  <si>
    <t>P015</t>
  </si>
  <si>
    <t>15.Potentials and Risks of the Low-Code Development.pdf</t>
  </si>
  <si>
    <t>research paper\15.Potentials and Risks of the Low-Code Development.pdf</t>
  </si>
  <si>
    <t>10.1007/978-3-658-48215-2_8</t>
  </si>
  <si>
    <t>Unclear: title not reliably parsed from PDF text; filename suggests 'Potentials and Risks of the Low-Code Development'</t>
  </si>
  <si>
    <t>A Systematic Literature Review; Stefan Trieflinger1, Dimitri Petrik2[0000-0002-0244-1235], Ebru Polat3,; and Bastian Roling4</t>
  </si>
  <si>
    <t>Springer Fachmedien Wiesbaden GmbH, ein Teil von Springer Nature 2025; M. Möhring et al. (Hrsg.), Herman Hollerith Conference 2024, Informatik aktuell,</t>
  </si>
  <si>
    <t>Springer</t>
  </si>
  <si>
    <t>Low-code, low-code platforms, challenges, potentials, systematic literature review. 1</t>
  </si>
  <si>
    <t>. Low-code development and deployment have become increasingly popular in recent years and is now used by many organizations. By providing a simple and user-friendly interface for creating source code, these low-code can significantly reduce the time and cost of developing digital applications. With low-code, software applications can be implemented quickly without requiring in-depth programming skills. This democratization of software development presents significant opportunities but also introduces risks, creating a trade-off for IT governance. This paper aims to examine this trade-off by conducting a systematic literature review of the growing body of literature, specifically focusing on the challenges and potentials of low-code adoption. The results include an overview of the reported challenges and potentials. They can be used in practice by organizations weighing the pros and cons of low-code implementation and governance. Furthermore, the results provide a basis for formulating a research agenda at the organizational level. Zusammenfassung. Low-Code-Entwicklung und -Bereitstellung sind in den letzten Jahren immer beliebter geworden und werden inzwischen von zahlreichen Unternehmen eingesetzt. Durch die Bereitstellung einer einfachen und benutzerfreundlichen Schnittstelle für die Erstellung von Quellcode kann Low-Code die Zeit und die Kosten für die Entwicklung digitaler Anwendungen erheblich reduzieren. Mit Low-Code kann Anwendungssoftware schnell implementiert werden, ohne dass tiefgreifende Programmierkenntnisse erforderlich sind. Diese Demokratisierung der Sof...</t>
  </si>
  <si>
    <t>Governance and control; Professional developer role change; Cost and business value</t>
  </si>
  <si>
    <t>However, many companies face the challenge of finding people with the right skills and expertise to complete these projects [4].</t>
  </si>
  <si>
    <t>Keywords: Low-code, low-code platforms, challenges, potentials, systematic literature review.</t>
  </si>
  <si>
    <t>low-code; no-code</t>
  </si>
  <si>
    <t>manufacturing; scientific</t>
  </si>
  <si>
    <t>Nowadays, low-code, and recently no-code development approaches are on the rise and provide users across the orga nization with access to application development capabilities.</t>
  </si>
  <si>
    <t>According to a study by Gartner [5], the global market for low- code development w ill grow by 22.6% between 2020 and 2021, indicating that, in pr actice, 70% of digital development is now done using low-code technology [6].</t>
  </si>
  <si>
    <t>By providing a simple and user-friendly interface for creating source code, these low-code can significantly reduce the time and cost of developing digital applications. | Digitalization not only offers the potential to develop products and services to meet customer needs, but also the opportunity to improve internal operations .</t>
  </si>
  <si>
    <t>pment: Potentials and Risks of the Low-Code Develo A Systematic Literature Review Stefan Trieflinger1, Dimitri Petrik2[0000-0002-0244-1235], Ebru Polat3, and Bastian Roling4 1 University of Reutlingen, Altenburgstr. | This democratization of software development presents significant opportunities but also introduces risks, creating a trade-off for IT governance.</t>
  </si>
  <si>
    <t>This democratization of software development presents significant opportunities but also introduces risks, creating a trade-off for IT governance.</t>
  </si>
  <si>
    <t>With the ever-increas ing innovation speed, companies are challenged to create and operate increasing numbers of digital services, processes, and products to sustain a comp etitive advantage [2].</t>
  </si>
  <si>
    <t>With low-code, software applications can be implemented quickly without requiring in-depth programming skills.</t>
  </si>
  <si>
    <t>This paper aims to examine this trade-off by conducting a systematic literature review of the growing body of literature, specifically focusing on the challenges and potentials of low-code adoption.</t>
  </si>
  <si>
    <t>By providing a simple and user-friendly interface for creating source code, these low-code can significantly reduce the time and cost of developing digital applications.</t>
  </si>
  <si>
    <t>The diverse challenges and potentials make the decision to use low-code complex for an organization’s IT.</t>
  </si>
  <si>
    <t>PDF text extracted from 2 pages; sample evidence page: Not reported.</t>
  </si>
  <si>
    <t>PRO_DEV_ROLE</t>
  </si>
  <si>
    <t>COST_ROI</t>
  </si>
  <si>
    <t>title parsing; sample/data size missing; limitations not found</t>
  </si>
  <si>
    <t>https://doi.org/10.1007/978-3-658-48215-2_8</t>
  </si>
  <si>
    <t>P016</t>
  </si>
  <si>
    <t>16.Addressing Skills Shortages through Low-Code.pdf</t>
  </si>
  <si>
    <t>research paper\16.Addressing Skills Shortages through Low-Code.pdf</t>
  </si>
  <si>
    <t>10.15439/2025F3612</t>
  </si>
  <si>
    <t>Addressing Skills Shortages through Low-Code/No-Code: Skill Profiles and Implementation Challenges</t>
  </si>
  <si>
    <t>Skill Profiles and Implementation Challenges; Paul Rozbitski; Technische Hochschule; of Applied Sciences</t>
  </si>
  <si>
    <t>Proceedings of the 20 th Conference on Computer; IEEE Catalog Number: CFP2585N-ART ©2025, PTI 243 Topical area: Information Technology; 244 PROCEEDINGS OF THE FEDCSIS. KRAKÓW, POLAND, 2025</t>
  </si>
  <si>
    <t>Low-Code, No-Code, Citizen Developer, Skills, Innovations, Digital Transformation. I.</t>
  </si>
  <si>
    <t>Low-code/no-code (LCNC) platforms promise low-barrier access to software development, increased effi - ciency, and programming with little to no code. This paper ex - plores whether it is really possible to create software without writing code and with little programming knowledge. Using a systematic literature analysis, we lay a foundation for future research on the skills needed by citizen developers using LCNC tools in corporate and public-sector contexts. Our analysis of 58 articles identifies three key skill categories: hard skills, such as programming and working with APIs; soft skills, such as com - munication and collaboration; and domain-specific knowledge. However, challenges exist in the upskilling process. Addition - ally, generative AI (GenAI) shows potential to expand LCNC capabilities. Nevertheless, the intersection of LCNC and publicsector transformation remains underexplored, highlighting the need for deeper studies focused on sector-specific challenges, use cases, and long-term adoption.</t>
  </si>
  <si>
    <t>Professional developer role change; Education and training; AI and automation</t>
  </si>
  <si>
    <t>Using a systematic literature analysis, we lay a foundation for future research on the skills needed by citizen developers using LCNC tools in corporate and public-sector contexts. | Relatedly-and also revealed by the global crises of recent years-a critical characteristic of successful com - panies has been their ability to adapt quickly to external cir - cumstances, respond to external factors, and become a learn - ing organization that quickly adopts innovations, with a fo - cus not only o...</t>
  </si>
  <si>
    <t>Abstract-Low-code/no-code (LCNC) platforms promise low-barrier access to software development, increased effi - ciency, and programming with little to no code.</t>
  </si>
  <si>
    <t>M OST AND L EAST F REQUENTLY U SED K EYWORDS IN THE A NALYZED L ITERATURE Most frequently occurring keywords Least frequently occurring keywords Keyword Fre - quency Keyword Fre - quency low-code 51 project management 1 conceptual 36 agile methodology 1 challenges 30 socio-technical theory 1 use case 22 decision-making 1 skills 21 manufacturing 1 platform 21 public administration 1 democratization 21 paradox theory 1 software development 20 product plan 1 drivers 19 stakeholders 1 citizen dev...</t>
  </si>
  <si>
    <t>manufacturing; education; IoT; DevOps</t>
  </si>
  <si>
    <t>Using a systematic literature analysis, we lay a foundation for future research on the skills needed by citizen developers using LCNC tools in corporate and public-sector contexts.</t>
  </si>
  <si>
    <t>Mendix; OutSystems; ChatGPT</t>
  </si>
  <si>
    <t>Given the current developments and the opportunities that LCNC can provide for companies and governmental institutions, this paper focuses on two research questions (RQs) that address the tension between the usage of LCNC and the necessary employee skills and competencies: RQ1: What competencies are discussed in the literature in the context of LCNC platforms? | RQ2: What is the state of research on LCNC platforms in the public sector, and what skill profiles and implementation challenges are discussed in this context? | To answer these research questions, our paper proceeds as follows.</t>
  </si>
  <si>
    <t>Our analysis of 58 articles identifies three key skill categories: hard skills, such as programming and working with APIs; soft skills, such as com - munication and collaboration; and domain-specific knowledge.</t>
  </si>
  <si>
    <t>Transferring selected development work to citizen developers reduces the need for expensive IT expertise [17].</t>
  </si>
  <si>
    <t>215 - 230. https://doi.org/10.1007/978-3-658-30129-3_11 . [9] Statista, “Annual average unemployment rate in Germany from 2005 to 2025,” Statista, 2025.</t>
  </si>
  <si>
    <t>Our analysis of 58 articles identifies three key skill categories: hard skills, such as programming and working with APIs; soft skills, such as com - munication and collaboration; and domain-specific knowledge. | Specifically, there is a fundamental need for e-gov - ernment services among the German population, as the range of services on offer is too limited: according to the Bitkom survey examining people's preferences regarding ad - ministrative services, 79% of respondents consider Germany to be lagging behind regarding digitalization, and 78% would... | The use of artificial intel - ligence (AI) is particularly in demand: 61% are in favor of public authorities using AI [6]. | After Zotero removed the duplicates, we were left with 151 articles, which provide a solid foundation for further research in the field of LCNC.</t>
  </si>
  <si>
    <t>Using a systematic literature analysis, we lay a foundation for future research on the skills needed by citizen developers using LCNC tools in corporate and public-sector contexts. | Relatedly-and also revealed by the global crises of recent years-a critical characteristic of successful com - panies has been their ability to adapt quickly to external cir - cumstances, respond to external factors, and become a learn - ing organization that quickly adopts innovations, with a fo - cus not only on efficiency but also on resilience. | By combining these two dimensions, Gartner categorizes vendors into four groups: “Leaders,” “Challengers,” “Visionaries,” and “Niche Players.”  Leaders are highly competitive, have a strong market presence, possess a clear vision, demonstrate strong ability to execute, and are well positioned for the future.</t>
  </si>
  <si>
    <t>Industrial and commercial companies are increasingly utilizing the potential of e-commerce to tap into new market opportunities; public authorities are turning to egovernment to reduce the administrative workload; and so - cial interactions are increasingly shifting to the digital world of social networks. | In addition to the organizational perspective on the benefits of digitalization, there are also macroeconomic and labormarket implications.</t>
  </si>
  <si>
    <t>Abstract-Low-code/no-code (LCNC) platforms promise low-barrier access to software development, increased effi - ciency, and programming with little to no code. | However, challenges exist in the upskilling process.</t>
  </si>
  <si>
    <t>To start, there are always concerns about data protection and IT security.</t>
  </si>
  <si>
    <t>The measurement of various factors - such as geographical strategy, marketing strategy, business model, and innovative strength -contribute to the assessment of “completeness of vision.” Other criteria- such as customer experience, product or service quality, responsiveness to market changes, and operational performance - are used to measure the “ability to execute” [26]. | Another important feature of LCNC platforms is that they not only provide support for visual programming and handle the entire application lifecycle, but they also typically provide integrated tools for the deployment process.</t>
  </si>
  <si>
    <t>Response times to customer feature requests are also reduced due to faster implementation and shorter delivery times and cycles.</t>
  </si>
  <si>
    <t>In particular, this reduces technical dependencies on IT departments; as a result, professional developers can focus on more strategic and value-adding tasks [18].</t>
  </si>
  <si>
    <t>However, due to a lack of formal programming education and skills, they are often unable to develop digital solutions on their own.</t>
  </si>
  <si>
    <t>Cluster Article Count Keywords with Occurrences Count #1 information systems and technologies 18 information systems (9), artificial intelligence (7), inte gration (5), data handling (4), IoT (2), connectors (1), machine learning (1) #2 development and programming languages 54 low-code (51), software development (20), no-code (16 ), rapid application development (6), model-driven engineering (6), traditional devel opment (5), programming languages (4), prototyping (3), domain-specific language (3), t esting (2), devops (2), generators (1), m...</t>
  </si>
  <si>
    <t>Overall, using LCNC platforms can lead to increased efficiency and productivity, thus saving costs [17], [18], [12].</t>
  </si>
  <si>
    <t>However, challenges exist in the upskilling process.</t>
  </si>
  <si>
    <t>Forstenhäusler, “SIMMI 4.0 - A Maturity Model for Classifying the Enterprise-wide IT and Software Landscape Focusing on Industry 4.0,” in Proceedings of the 2016 Federated Conference on Computer Science and Information Systems (FedCSIS 2016) , 2016, http://dx.doi.org/10.15439/2016F478 . [5] A.</t>
  </si>
  <si>
    <t>PDF text extracted from 11 pages; sample evidence page: p. 1.</t>
  </si>
  <si>
    <t>. It is clear that many real-world processes involve a high level of complexity, largely due to the participation of numerous organizations. This complexity creates challenges with process modeling. A further issue that must be addressed is the synchronization of models and tables in databases. The process of database synchronization is a prerequisite for implementing model changes; however, this procedure is not without its complications. Overall, governmental authorities remain less represented in the literature. Further studies are necessary to identify sector-specific barriers, skill requirements, and implementation strategies in public administrations. In response to RQ2 : Research on governmental administrations is limited; only one article was identified. The main challenges were not explicitly mentioned - only the standard limitations of LCNC platforms, such as issues with interoperability, flexibility, and vendor lock-in. Competency profiles were also not identified. Further research is needed in this area. D. Future of LCNC Platforms The low coverage of the cluster information systems and technologies (#1) may be due to the inclusion of newer emergent topics in the LCNC context, such as AI, machine learning (ML), and the internet of things (IoT). AI has recently gai ned attention in the context of LCNC platforms and tools, as the integration of AI into LCNC could p...</t>
  </si>
  <si>
    <t>on the skills needed by citizen developers using LCNC tools in corporate and public-sector contexts. Our analysis of 58 articles identifies three key skill categories: hard skills, such as programming and working with APIs; soft skills, such as com - munication and collaboration; and domain-specific knowledge. However, challenges exist in the upskilling process. Addition - ally, generative AI (GenAI) shows potential to expand LCNC capabilities. Nevertheless, the intersection of LCNC and publicsector transformation remains underexplored, highlighting the need for deeper studies focused on sector-specific challenges, use cases, and long-term adoption. Index Terms -Low-Code, No-Code, Citizen Developer, Skills, Innovations, Digital Transformation. I. INTRODUCTION NFORMATION and communication technology (ICT) has undergone rapid changes over the decades-particu - larly in the last ten to fifteen years-and has had a far-reach - ing impact on almost every aspect of daily life. These change...</t>
  </si>
  <si>
    <t>In addition to the organizational perspective on the benefits of digitalization, there are also macroeconomic and labormarket implications.</t>
  </si>
  <si>
    <t>Skill Profiles and Implementation Challenges; Paul Rozbitski; Technische Hochschule; of Applied Sciences (2025). Addressing Skills Shortages through Low-Code/No-Code: Skill Profiles and Implementation Challenges. Proceedings of the 20 th Conference on Computer; IEEE Catalog Number: CFP2585N-ART ©2025, PTI 243 Topical area: Information Technology; 244 PROCEEDINGS OF THE FEDCSIS. KRAKÓW, POLAND, 2025.</t>
  </si>
  <si>
    <t>https://doi.org/10.15439/2025F3612</t>
  </si>
  <si>
    <t>P017</t>
  </si>
  <si>
    <t>17.Low-code to fight climate change.pdf</t>
  </si>
  <si>
    <t>research paper\17.Low-code to fight climate change.pdf</t>
  </si>
  <si>
    <t>Low-code to fight climate change: the Climaborough project</t>
  </si>
  <si>
    <t>Aaron Conrardy1,2,*,†, Armen Sulejmani 1,*,†, Cindy Guerlain 1, Daniele Pagani 1,; David Hick3, Matteo Satta 4 and Jordi Cabot 1,2; 2University of Luxembourg, Belval, Luxembourg</t>
  </si>
  <si>
    <t>Climaborough, Climate, BESSER, Dashboard, Low-code, No-code 1.</t>
  </si>
  <si>
    <t>The EU-funded Climaborough project supports European cities to achieve carbon neutrality by 2030. Eleven cities in nine countries will deploy in real conditions products and services fostering climate transition in their local environment. The Climaborough City Platform is being developed to monitor the cities’ overall progress towards their climate goals by aggregating historic and real-time data and displaying the results in user-friendly dashboards that will be used by non-technical experts to evaluate the effectiveness of local experimental initiatives, identify those that yield significant impact, and assess the potential consequences of scaling them up to a broader level. In this paper, we explain how we have put in place a low-code/no-code strategy in Climaborough in response to the project’s aim to quickly deploy climate dashboards. A low-code strategy is used to accelerate the development of the dashboards. The dashboards embed a no-code philosophy that enables all types of citizen profiles to configure and adapt the dashboard to their specific needs.</t>
  </si>
  <si>
    <t>Integration</t>
  </si>
  <si>
    <t>AI and automation; Usability and user experience; Domain-specific use</t>
  </si>
  <si>
    <t>Seven work packages (WP) were defined to tackle different tasks: (WP1) Urban Planning and Climate Neutrality Evaluation, (WP2) Climaborough City Platform, (WP3) CLIMHUBS Setup, Co-Creation and Collaboration, (WP4) Innovative Procurement, (WP5) Climate Sandbox Demonstration in Real Environments, (WP6) Dissemination, Communication and Exploitation and (WP7) Management. | During the modeling stage, designers and developers define a data model that forms the foundation of their application. | Ear...</t>
  </si>
  <si>
    <t>In short, the low-code part is used to speed up the development of the core dashboard components while a no-code mechanism, embedded in the generated dashboards, allows users to add, remove and configure the dashboard widgets.</t>
  </si>
  <si>
    <t>The dashboards embed a no-code philosophy that enables all types of citizen profiles to configure and adapt the dashboard to their specific needs.</t>
  </si>
  <si>
    <t>The impact of these initiatives is then assessed through a Climate Neutrality Framework4, which facilitates the estimation of their broader scalability and effectiveness and helps cities in their decision to adopt them or not at scale.</t>
  </si>
  <si>
    <t>climate</t>
  </si>
  <si>
    <t>The primary outcome of the project will be the development of a structured process incorporating a set of tactical tools designed in collaboration with domain experts, including an innovative procurement process aimed at accelerating cities’ capacity to implement climate transition strategies within urban planning.</t>
  </si>
  <si>
    <t>In this sense, this paper focuses on describing how the project has followed a low-code and 3https://ancitoscana.it/ 4https://ec.europa.eu/research/participants/documents/downloadPublic?documentIds=080166e517cb7a44&amp;appId= PPGMS 5https://www.dksr.city 6https://www.list.lu/ 7https://www.imt.fr/</t>
  </si>
  <si>
    <t>Figure 3: Overview of pipeline to create RAG powered Agent Figure 4: Screenshot of the dashboard editor, showcasing the drag-and-drop interface alongside the agent for creating dashboards with various approaches, including direct integration from source like Google Drive to API Endpoints.</t>
  </si>
  <si>
    <t>The Climaborough City Platform is being developed to monitor the cities’ overall progress towards their climate goals by aggregating historic and real-time data and displaying the results in user-friendly dashboards that will be used by non-technical experts to evaluate the effectiveness of local experimental initiatives, identify those that yield significant impact, and assess the potential consequences of scaling them up to a broader level.</t>
  </si>
  <si>
    <t>This layer relies on traditional data collection and processing techniques, ensuring robustness and reliability.</t>
  </si>
  <si>
    <t>Seven work packages (WP) were defined to tackle different tasks: (WP1) Urban Planning and Climate Neutrality Evaluation, (WP2) Climaborough City Platform, (WP3) CLIMHUBS Setup, Co-Creation and Collaboration, (WP4) Innovative Procurement, (WP5) Climate Sandbox Demonstration in Real Environments, (WP6) Dissemination, Communication and Exploitation and (WP7) Management. | During the modeling stage, designers and developers define a data model that forms the foundation of their application. | Early validation Preliminary testing by our project partners has demonstrated significant interest in the dashboard’s core features.</t>
  </si>
  <si>
    <t>A low-code strategy is used to accelerate the development of the dashboards. | The primary outcome of the project will be the development of a structured process incorporating a set of tactical tools designed in collaboration with domain experts, including an innovative procurement process aimed at accelerating cities’ capacity to implement climate transition strategies within urban planning.</t>
  </si>
  <si>
    <t>Afterwards, Section 4 presents the current state of the platform and discusses some of the choices we made based on encountered challenges. | The DT leverages real-time and historical data to simulate the potential impacts of various climate strategies, helping cities anticipate challenges and optimize their policies accordingly.</t>
  </si>
  <si>
    <t>The DT leverages real-time and historical data to simulate the potential impacts of various climate strategies, helping cities anticipate challenges and optimize their policies accordingly.</t>
  </si>
  <si>
    <t>Specifically, it aims to overcome the bottlenecks when transitioning from prototyping to testing and to market RCIS 2025 Research Projects Track *Corresponding author. † These authors contributed equally. /envel⌢pe-⌢penaaron.conrardy@list.lu (A.</t>
  </si>
  <si>
    <t>Seven work packages (WP) were defined to tackle different tasks: (WP1) Urban Planning and Climate Neutrality Evaluation, (WP2) Climaborough City Platform, (WP3) CLIMHUBS Setup, Co-Creation and Collaboration, (WP4) Innovative Procurement, (WP5) Climate Sandbox Demonstration in Real Environments, (WP6) Dissemination, Communication and Exploitation and (WP7) Management.</t>
  </si>
  <si>
    <t>Low-code to fight climate change: the Climaborough project Aaron Conrardy1,2,*,†, Armen Sulejmani 1,*,†, Cindy Guerlain 1, Daniele Pagani 1, David Hick3, Matteo Satta 4 and Jordi Cabot 1,2 1Luxembourg Institute of Science and Technology, Belval, Luxembourg 2University of Luxembourg, Belval, Luxembourg 3ANCI Toscana, Florence, Italy 4Daten-Kompetenzzentrum für Städte und Regionen (DKSR) GmbH, Berlin, Germany Abstract The EU-funded Climaborough project supports European cities to achieve carbon neutrality by 2030.</t>
  </si>
  <si>
    <t>However, after careful evaluation, we decided to develop our own solution to maintain full control over its features, customization, and adaptability.</t>
  </si>
  <si>
    <t>BESSER-dashboards: Low-code approach to configure no-code dashboards Our main objective with the BESSER-dashboards is to speed up the development of dashboards and their integration in data-driven projects while guaranteeing that the resulting dashboards can be created and adapted by non-technical stakeholders.</t>
  </si>
  <si>
    <t>In addition to the basic dashboard interaction, an AI-powered multilingual conversational agent is also available on the dashboard.</t>
  </si>
  <si>
    <t>as users would have been restricted to a predefined number of templates to build the complete dashboard. A fully low-code one would have offer full flexibility but required technical expertise during the customization phase. Our mixed approach aims to combine both worlds. Need for AI-enhanced components While our dashboard is built on core information systems and model-based techniques, it was inevitable to add also AI techniques in the mix. Users expect them (e.g. in the form of a conversational agent). Therefore, it is clear that, more and more, we need to combine classical engineering techniques with AI ones to build smart software systems [4]. Fortunately, BESSER is already created with this goal in mind and it was therefore easy to integrate conversational agent development in our low-code process. Early validation Preliminary testing by our project partners has demonstrated significant interest in the dashboard’s core features. Cities have responded positively to the intuitive nature of the no-code interface, highlighting its ease of use and accessibility. The positive feedback from partner cities highlights how blending low-code for setup with no-code for user interaction makes climate data visualization more accessible and engaging. Cities have embraced the ability to effortlessly shape their own dashboards, giving them direct control over their data without needing...</t>
  </si>
  <si>
    <t>In an effort to support the performance tracking of the pilots deployed in the Climaborough project, we presented the concept of the Climaborough City Platform. Specifically, given the project’s goal of fast implementation of climate solutions, we focused on the low-code approach to quickly configure the backend and frontend environment of a no-code dashboard creator for non-technical users, enhanced by advanced interaction methods. Based on the feedback provided by cities, we will improve both aspects. We also plan to study in what other parts of the project architecture (potentially involving other WPs), a low-code strategy could also make sense. For instance, in the creation and execution of climate simulation scenarios. Finally, we plan to connect the Climaborough City Platform to other climate initiatives such as the NetZeroCities platform11 or the Climaborough twin project UP203012. This could include pushing or pulling data from the NetZeroCities knowledge repository or inclu...</t>
  </si>
  <si>
    <t>Aaron Conrardy1,2,*,†, Armen Sulejmani 1,*,†, Cindy Guerlain 1, Daniele Pagani 1,; David Hick3, Matteo Satta 4 and Jordi Cabot 1,2; 2University of Luxembourg, Belval, Luxembourg (2005). Low-code to fight climate change: the Climaborough project.</t>
  </si>
  <si>
    <t>P018</t>
  </si>
  <si>
    <t>18.Adoption of low-code and no-code development.pdf</t>
  </si>
  <si>
    <t>research paper\18.Adoption of low-code and no-code development.pdf</t>
  </si>
  <si>
    <t>10.1016/j.jss.2024.112300</t>
  </si>
  <si>
    <t>Adoption of low-code and no-code development: A systematic literature review and future research agenda</t>
  </si>
  <si>
    <t>Matthew Oladeji Ajimati; , Noel Carroll , Mary Maher</t>
  </si>
  <si>
    <t>2010</t>
  </si>
  <si>
    <t>The Journal of Systems and Software 222 (2025) 112300; 0164-1212/© 2024 Elsevier Inc. All rights are reserved, including those for text and data mining, AI training, and similar technologies.; The Journal of Systems &amp; Software</t>
  </si>
  <si>
    <t>Elsevier</t>
  </si>
  <si>
    <t>Citizen development Low-code No-code Digital transformation Systematic literature review</t>
  </si>
  <si>
    <t>Context: Low-code/no-code (LCNC) is an emerging technology trend that extends software development beyond professionalsoftware engineers, making it accessible to individuals throughout organizations and society. Objective: We aim to provide a systematic review of the current research on the adoption of LCNC technologies within citizen development (CD) practices for digital transformation (DT), and to propose a research agenda for this field. Method: This review is primarily conducted using a multi-phase systematic literature review of publications from the past five years, i.e., between 2017 and 2023. Results: We identified 40 primary studies that describes the application of LCNC development and CD practices, the theoretical lenses/frameworks used, and the associated benefits and challenges. Conclusion: In this study, we present three key contributions. First, we provide a comprehensive review of the benefits, challenges, theoretical perspectives, and methods used to explore LCNC and CD adoption. Second, we introduce a framework designed to guide managers in effectively adopting LCNC and CD practices. Finally, our systematic review uncovers gaps in existing research and identifies opportunities for further exploration, which paves the way for a future research agenda.</t>
  </si>
  <si>
    <t>Platform comparison; Scalability; Usability and user experience</t>
  </si>
  <si>
    <t>However, we found a multi-vocal systematic review by Bucaioni et al. | These themes focus on the nature of technology, man - agement implementation strategies, employees ’ roles and digital skills, and performance evaluation metrics. • Finally, our review helps identify research gaps and future oppor - tunities associated with LCNC and CD adoption, providing re - searchers with a foundation to position their work for contributions in this domain. | It was essential to establish the appropriat...</t>
  </si>
  <si>
    <t>Search Terms 1 ( “ citizen development ” OR “ low-code platform ” OR “ no-code platform ” OR “ low- code development platform ” OR “ no-code development ” OR “ low code-no code ” OR “ low code ” OR “ no-code ” OR “ low-code engineering ” OR “ low-code engineering platform ” OR “ LCNC ” OR “ citizen developer ” OR “ citizen oriented applications ” ) AND ( “ digital transformation ” ) 2 ( “ citizen development ” OR “ citizen developer ” OR “ citizen oriented applications ” ) AND ( “ digital tra...</t>
  </si>
  <si>
    <t>Results: We identified 40 primary studies that describes the application of LCNC development and CD practices, the theoretical lenses/frameworks used, and the associated benefits and challenges.</t>
  </si>
  <si>
    <t>manufacturing; education; finance; agriculture; scientific; IoT</t>
  </si>
  <si>
    <t>Research suggests that non-IT employees or business professionals without coding or technical skills (i.e., citizen developers) often derive greater benefits from using LCNC technology to develop software, compared to traditional software developers ( Carroll and Maher, 2023 ).</t>
  </si>
  <si>
    <t>Therefore, this research aims to address the following research questions: • RQ1 - What are the benefits and challenges associated with the adoption of LCNC technologies and CD practices in organizations? | This question ex - plores the state of research on the theoretical, methodological, and practical contributions to studying the adoption of LCNC and CD adoption to drive DT initiatives within organizations. • RQ2 - How do organizations evaluate the methods they use in measuring the benefits of LCNC adoption and CD practices? | In answering our research questions, we iden - tified the need to undertake a multi-phase systematic literature review to better understand the benefits, challenges, and research opportunities inherent in CD for DT ( Luo et al., 2021 ; Overeem and Jansen, 2021 ).</t>
  </si>
  <si>
    <t>For the stages following the initial search ACM Digital Library, AIS e-Digital Library, Science Direct, EBSCO (Academic Source Complete), Web of Science, Engineering Village and Scopus, as well as Google Scholar were the search engines and research sources used.</t>
  </si>
  <si>
    <t>We used our search strings in the selected search engines which yielded an overall sample of 5996 studies.</t>
  </si>
  <si>
    <t>At this stage the specific (i) research fields to be included in the study were identified; (ii) the search engines and research sources to be used were decided upon; (iii) the search strings to be used were determined, and (iv) the inclusion and exclusion criteria to be followed were agreed upon and validated by the authors.</t>
  </si>
  <si>
    <t>Method: This review is primarily conducted using a multi-phase systematic literature review of publications from the past five years, i.e., between 2017 and 2023.</t>
  </si>
  <si>
    <t>The growing reliance on digital technolo - gies highlights its dual role as a transformative change and a tool to address some complex challenges across various domains.</t>
  </si>
  <si>
    <t>Ac - cording to Gartner (2021) , the LCNC development technologies market is projected to grow beyond the 23% recorded in 2021 (estimated to be $13.8 billion) to around 30% since the end of 2022. | It is also projected that by 2024, LCNC will represent 75% of software application devel - opment ( Hurlburt, 2021 ). | We used our search strings in the selected search engines which yielded an overall sample of 5996 studies. | At this stage, by removing 3912 duplicate and unsuitable papers from the searched 5996 papers, we were left with 2084 unique papers to be further reviewed.</t>
  </si>
  <si>
    <t>The need for DT is becomming more important due to the growing expectations for more skilful engineers ( Lara-Prieto and Flores-Garza, 2021 ), automatic coding ( Woo, 2020 ), pressure to reduce budget costs ( Fernandes et al., 2020 ), shorter development cycles, and greater alignment between business and IT departments ( Elshan et al., * Corresponding author.</t>
  </si>
  <si>
    <t>Threats to validity Every SLR study is liable to threats to validity which could affect the results attained and ultimately the outcome of the study ( Petersen et al., 2015 ).</t>
  </si>
  <si>
    <t>However, we found a multi-vocal systematic review by Bucaioni et al. | These themes focus on the nature of technology, man - agement implementation strategies, employees ’ roles and digital skills, and performance evaluation metrics. • Finally, our review helps identify research gaps and future oppor - tunities associated with LCNC and CD adoption, providing re - searchers with a foundation to position their work for contributions in this domain. | It was essential to establish the appropriate fields of research as it was found that when searching the term ‘citizen development’ it resulted in several studies relating to ‘citizens’ in different fields.</t>
  </si>
  <si>
    <t>Results: We identified 40 primary studies that describes the application of LCNC development and CD practices, the theoretical lenses/frameworks used, and the associated benefits and challenges. | First, we provide a comprehensive review of the benefits, challenges, theoretical perspectives, and methods used to explore LCNC and CD adoption.</t>
  </si>
  <si>
    <t>This uncertainty leads to a mix of cautious optimism and criticism, along with other challenges (e.g., security, cultural change) regarding their adoption within organizations ( Michael and Wortmann, 2021 ; Palom ´es et al., 2021 ).</t>
  </si>
  <si>
    <t>IT Governance can be related to making and enforcing decisions to promote a safe, accountable, and acceptable use of technologies for business solutions in organizations.</t>
  </si>
  <si>
    <t>The benefits of LCNC and CD include process improvement, profit maximization, digital skill development, empowerment, innovation development, usability, customizability, integration, maintenance, and scalability. | The possibility of being locked-in by plat - form vendors may also result in incurring higher switching costs for adopters, in case there is maintainability or longevity issues for providers.</t>
  </si>
  <si>
    <t>This is because the integration and application of AI-driven support in co-creating codeless technological platforms will yield more faster, flexible, adaptable, maintainable, and learnable digital platforms for building highly customizable and scalable digital solutions for multi - purpose use by individuals and organizations of all sizes.</t>
  </si>
  <si>
    <t>The major comparison between the use of traditional software development and LCNC software development platforms is that the former requires a great deal of manual effort to write codes for developing, testing, and deploying complex software products.</t>
  </si>
  <si>
    <t>For example, within the application of low-code engineering techniques, observations and interviews with 7 industrial domain experts revealed that they are happy to develop their industrial software applications without consulting with their professional developers ( Wang et al., 2021 ).</t>
  </si>
  <si>
    <t>(2021) LCDPs facilitate end-user programming for citizen developers, people without formal programming education that develop software, through Model-driven Development (MDD).</t>
  </si>
  <si>
    <t>(2022) , Wang &amp; Wang (2021) Operational technologies (OT), artificial intelligence, machine learning, computer vision Lara-Prieto &amp; Flores-Garza (2021) Computational thinking related to concept definition, system, and problem analysis (identifying/ evaluating/solving problem) Hylton et al.</t>
  </si>
  <si>
    <t>In addition to lowering labour and resource costs in daily business operations, it also increases revenue streams for organizations ( Kane et al., 2015 ; Matt et al., 2015 ; Vial, 2019 ).</t>
  </si>
  <si>
    <t>However, technological motivations often prioritize auto - mating manual operations, such as workflows or tasks (e.g., invoice processing).</t>
  </si>
  <si>
    <t>Citizen development is deemed to have supported a seamless embedding of access control policy and generation of code on (including the security of) IoT devices for building a secured enterprise service infrastructure ( Korkan et al., 2020 ; Zolotas et al., 2018 ).</t>
  </si>
  <si>
    <t>PDF text extracted from 25 pages; sample evidence page: p. 3.</t>
  </si>
  <si>
    <t>of our study in Section 8 . 2. Research method - A multi-phase systematic literature review The section presents the SLR process that was adopted to identify and analyse all relevant research available for this study. The purpose of this SLR is to identify how the terms and labels based around LCNC and CD were used relevant to the business industry, and specifically to answer this study’s research questions (see Table 1 ). The SLR presented several key benefits to address research questions and identify the benefits, challenges, and opportunities of CD for DT. As mentioned previously, we chose a grounded theory approach described by Wolfswinkel et al. (2013) . The grounded theory consists of five stages; (i) define, (ii) search, (iii) select, (iv) analyse and (v) present. This provided an excellent approach to identifying relevant papers for this study in a manner that ensured clear, impartial, and repeatable reviews of large quantities of research papers (see Fig. 1 ). By performing an SLR using this approach, information related to the research ques - tions of this study, and the different labels and definitions associated with CD and LCNC were identified and analysed. This research method ensured due diligence and would be a repeatable, unbiased method to be carried out in future studies. 2.1. Stage 1: Define Define is the first of the five stages carried out for this SLR...</t>
  </si>
  <si>
    <t>agenda Matthew Oladeji Ajimati * , Noel Carroll , Mary Maher Business Information Systems, J.E. Cairnes School of Business &amp; Economics, University of Galway, Ireland ARTICLE INFO Keywords: Citizen development Low-code No-code Digital transformation Systematic literature review ABSTRACT Context: Low-code/no-code (LCNC) is an emerging technology trend that extends software development beyond professionalsoftware engineers, making it accessible to individuals throughout organizations and society. Objective: We aim to provide a systematic review of the current research on the adoption of LCNC technologies within citizen development (CD) practices for digital transformation (DT), and to propose a research agenda for this field. Method: This review is primarily conducted using a multi-phase systematic literature review of publications from the past five years, i.e., between 2017 and 2023. Results: We identified 40 primary studies that describes the application of LCNC development and CD p...</t>
  </si>
  <si>
    <t>This question ex - plores the state of research on the theoretical, methodological, and practical contributions to studying the adoption of LCNC and CD adoption to drive DT initiatives within organizations. • RQ2 - How do organizations evaluate the methods they use in measuring the benefits of LCNC adoption and CD practices?</t>
  </si>
  <si>
    <t>Matthew Oladeji Ajimati; , Noel Carroll , Mary Maher (2010). Adoption of low-code and no-code development: A systematic literature review and future research agenda. The Journal of Systems and Software 222 (2025) 112300; 0164-1212/© 2024 Elsevier Inc. All rights are reserved, including those for text and data mining, AI training, and similar technologies.; The Journal of Systems &amp; Software.</t>
  </si>
  <si>
    <t>https://doi.org/10.1016/j.jss.2024.112300</t>
  </si>
  <si>
    <t>P019</t>
  </si>
  <si>
    <t>19.Democratizing Machine Learning.pdf</t>
  </si>
  <si>
    <t>research paper\19.Democratizing Machine Learning.pdf</t>
  </si>
  <si>
    <t>10.3390/make7040141</t>
  </si>
  <si>
    <t>Democratizing Machine Learning: A Practical Comparison of Low-Code and No-Code Platforms</t>
  </si>
  <si>
    <t>Practical Comparison of Low-Code; and No-Code Platforms. Mach. Learn.; Knowl. Extr. 2025, 7, 141. https://; Licensee MDPI, Basel, Switzerland.</t>
  </si>
  <si>
    <t>machine learning; low-code; no-code; AutoML; cloud platforms; comparative analysis 1.</t>
  </si>
  <si>
    <t>The growing use of machine learning (ML) and artificial intelligence across sectors has shown strong potential to improve decision-making processes. However, the adoption of ML by non-technical professionals remains limited due to the complexity of traditional development workflows, which often require software engineering and data science expertise. In recent years, low-code and no-code platforms have emerged as promising solutions to democratize ML by abstracting many of the technical tasks typically involved in software engineering pipelines. This paper investigates whether these platforms can offer a viable alternative for making ML accessible to non-expert users. Beyond predictive performance, this study also evaluates usability, setup complexity, the transparency of automated workflows, and cost management under realistic “out-of-the-box” conditions. This multidimensional perspective provides insights into the practical viability of LC/NC tools in real-world contexts. The comparative evaluation was conducted using three leading cloud-based tools: Amazon SageMaker Canvas, Google Cloud Vertex AI, and Azure Machine Learning Studio. These tools employ ensemble-based learning algorithms such as Gradient Boosted Trees, XGBoost, and Random Forests. Unlike traditional ML workflows that require extensive software engineering knowledge and manual optimization, these platforms enable domain experts to build predictive models through visual interfaces. The findings show that all platforms achieved high accuracy, with consistent identification of key features. Google Cloud Vert...</t>
  </si>
  <si>
    <t>Education and training; Usability and user experience; AI and automation</t>
  </si>
  <si>
    <t>The findings show that all platforms achieved high accuracy, with consistent identification of key features. | ML, a subfield of AI focused on systems that learn from data without explicit programming, has demonstrated exceptional potential in solving complex predictive and classification problems across domains [1,2]. | Developing, training, and deploying ML models traditionally requires specialized knowledge in software programming (e.g., Python, R), mathematical foundations (e.g., linear a...</t>
  </si>
  <si>
    <t>Democratizing Machine Learning: A Practical Comparison of Low-Code and No-Code Platforms.</t>
  </si>
  <si>
    <t>2025, 7, 141 4 of 24 In parallel, the rapid emergence of AI-augmented LC/NC platforms, sometimes incorporating agentic and memory-augmented frameworks, reflects a growing trend toward more intelligent and context-aware usability [21].</t>
  </si>
  <si>
    <t>healthcare; education; finance</t>
  </si>
  <si>
    <t>This paper investigates whether these platforms can offer a viable alternative for making ML accessible to non-expert users.</t>
  </si>
  <si>
    <t>Discussion The results of this study support the hypothesis that LC/NC platforms can empower domain professionals to build effective ML models without deep technical knowledge.</t>
  </si>
  <si>
    <t>However, transforming these large, heterogeneous datasets into actionable insights typically requires advanced software engineering expertise, due to the complexity of traditional ML pipelines, which require programming skills, data engineering, and expertise in algorithm tuning and evaluation [12,13].</t>
  </si>
  <si>
    <t>Section 3 details the methodological approach, including the selection criteria for the evaluated platforms, the characteristics of the dataset used for the case study, and the evaluation metrics employed to assess predictive performance.</t>
  </si>
  <si>
    <t>This multidimensional perspective provides insights into the practical viability of LC/NC tools in real-world contexts.</t>
  </si>
  <si>
    <t>Amazon SageMaker Canvas performs an 80/20 split between training and validation data, Google Cloud Vertex AI uses a three-way split with 80% training, 10% validation, and 10% testing, and Azure Machine Learning applies a default partition of approximately 70% training, 15% validation, and 15% testing (depending on dataset size and configuration). | Feature importance was also provided under the Analyze tab, highlighting Cumulative_Fatigue_Index (54.29%), Impact_Force_Newtons (23.65%), and Heart_Rate_BPM (20.83%) as the most influential predictors, as can be seen in Figure 4, enabling intuitive interpretation without requiring technical expertise. | Figure 3 shows the default settings were used throughout, including a random data split (80% training, 10% validation, 10% testing) and Root Mean Squared Logarithmic Error (RMSLE) as the optimization metric. | Feature importance was provided using Shapley values, clearly indicating the most influential variables as described in Figure 4: Cumulative_Fatigue_Index (51.69%), Impact_Force_Newtons (27.96%), and Heart_Rate_BPM (19.59%).</t>
  </si>
  <si>
    <t>Beyond predictive performance, this study also evaluates usability, setup complexity, the transparency of automated workflows, and cost management under realistic “out-of-the-box” conditions.</t>
  </si>
  <si>
    <t>This consistency across tasks reinforces the interpretability and reliability of the automated modeling process.</t>
  </si>
  <si>
    <t>The findings show that all platforms achieved high accuracy, with consistent identification of key features. | ML, a subfield of AI focused on systems that learn from data without explicit programming, has demonstrated exceptional potential in solving complex predictive and classification problems across domains [1,2]. | Developing, training, and deploying ML models traditionally requires specialized knowledge in software programming (e.g., Python, R), mathematical foundations (e.g., linear algebra, probability), and data science techniques (e.g., feature engineering, model validation) [5].</t>
  </si>
  <si>
    <t>Article Democratizing Machine Learning: A Practical Comparison of Low-Code and No-Code Platforms Luis Giraldo and Sergio Laso * Department of Computer Systems and Telematics Engineering, Universidad de Extremadura, 10003 Cáceres, Spain; lgiraldol@alumnos.unex.es * Correspondence: slasom@unex.es Abstract The growing use of machine learning (ML) and artificial intelligence across sectors has shown strong potential to improve decision-making proc... | To date, there is a lack of practical research examining whether LC/NC platforms can truly empower non-technical professionals.</t>
  </si>
  <si>
    <t>However, the adoption of ML by non-technical professionals remains limited due to the complexity of traditional development workflows, which often require software engineering and data science expertise. | ML, a subfield of AI focused on systems that learn from data without explicit programming, has demonstrated exceptional potential in solving complex predictive and classification problems across domains [1,2].</t>
  </si>
  <si>
    <t>This system offered a greater sense of security, as it ensured that no charges would be incurred without explicit user authorization.</t>
  </si>
  <si>
    <t>Other recent contributions examine LC/NC ML from human-computer interaction and governance perspectives.</t>
  </si>
  <si>
    <t>The main selection criteria were as follows: • Cloud Market Leadership: Platforms offered by the three major cloud providers, Microsoft Azure [32], AWS [33], and Google Cloud [34] were chosen for their robustness, scalability, and wide range of integrated services. | By evaluating how each platform supports the full ML lifecycle and the trade-offs involved, this work contributes to the ongoing debate on the democratization of AI and offers practical insight into the capabilities and limitations of LC/NC tools in real-world decision-making contexts.</t>
  </si>
  <si>
    <t>Comparative reviews have highlighted that LC/NC approaches can streamline ML adoption in organizations by reducing development times and enabling faster prototyping [26,30].</t>
  </si>
  <si>
    <t>The lack of applied studies testing LC/NC AutoML solutions for non-technical professionals is notable, with only a handful of preliminary efforts attempting to bridge this gap.</t>
  </si>
  <si>
    <t>Introduction Artificial intelligence (AI) and machine learning (ML) are experiencing exponential growth, reshaping a wide array of industries ranging from healthcare and finance to education and sports.</t>
  </si>
  <si>
    <t>Article Democratizing Machine Learning: A Practical Comparison of Low-Code and No-Code Platforms Luis Giraldo and Sergio Laso * Department of Computer Systems and Telematics Engineering, Universidad de Extremadura, 10003 Cáceres, Spain; lgiraldol@alumnos.unex.es * Correspondence: slasom@unex.es Abstract The growing use of machine learning (ML) and artificial intelligence across sectors has shown strong potential to improve decision-making processes.</t>
  </si>
  <si>
    <t>However, the adoption of ML by non-technical professionals remains limited due to the complexity of traditional development workflows, which often require software engineering and data science expertise.</t>
  </si>
  <si>
    <t>PDF text extracted from 24 pages; sample evidence page: Not reported.</t>
  </si>
  <si>
    <t>of LC/NC tools in real-world decision-making contexts. The remainder of this paper is structured as follows. Section 2 reviews related work on the democratization of ML through LC/NC platforms. Section 3 details the methodological approach, including the selection criteria for the evaluated platforms, the characteristics of the dataset used for the case study, and the evaluation metrics employed to assess predictive performance. Section 4 presents the results obtained from applying the workflows of each platform to the injury risk prediction problem. Section 5 offers a critical discussion of these results, comparing the platforms across multiple usability and performance dimensions, and interpreting their implications for real-world adoption by non-technical users. Finally, Section 6 presents the main conclusions and outlines directions for future research related to LC/NC platforms. 2. Related Work The democratization of ML has become a focal point in both academic research and industry, with an increasing emphasis on enabling non-technical users to build, train, and deploy models through LC/NC platforms. AutoML tools, which automate key stages of the ML workflow such as feature engineering, model selection, and hyperparameter optimization, have been widely studied for their potential to reduce entry barriers [13,17]. However, despite their promise, researchers have identif...</t>
  </si>
  <si>
    <t>could delve deeper into the analysis of user interaction within LC/NC AutoML workflows, identifying which stages or interface components generate the most confusion or cognitive load for users without technical knowledge, based on the results obtained regarding confusion in certain terms. The performance of these platforms could also be analyzed with noisier or more unbalanced datasets, or when implemented for real-time decision-making in operational environments. Author Contributions: L.G. conducted the experiments. S.L. analyzed the results. L.G. and S.L. wrote the main manuscript. All authors contributed equally to this work and reviewed the manuscript. All authors have read and agreed to the published version of the manuscript. Funding: This work was partially funded by the grant DIN2020-011586 funded by MICIU/AEI/10.13039/50100011033 and the “European Union NextGenerationEU/PRTR”, by the Department of Education, Science and Professional Training of the Government of Extremadura...</t>
  </si>
  <si>
    <t>Practical Comparison of Low-Code; and No-Code Platforms. Mach. Learn.; Knowl. Extr. 2025, 7, 141. https://; Licensee MDPI, Basel, Switzerland. (2023). Democratizing Machine Learning: A Practical Comparison of Low-Code and No-Code Platforms. Licensee MDPI, Basel, Switzerland..</t>
  </si>
  <si>
    <t>https://doi.org/10.3390/make7040141</t>
  </si>
  <si>
    <t>P020</t>
  </si>
  <si>
    <t>20.Building BESSER.pdf</t>
  </si>
  <si>
    <t>research paper\20.Building BESSER.pdf</t>
  </si>
  <si>
    <t>Building BESSER: an open-source low-code platform ⋆ Iv´ an Alfonso1, Aaron Conrardy1, Armen Sulejmani1, Atefeh Nirumand1, Fitash</t>
  </si>
  <si>
    <t>Iv´ an Alfonso1, Aaron Conrardy1, Armen Sulejmani1, Atefeh Nirumand1, Fitash; Ul Haq1, Marcos Gomez-Vazquez1, Jean-S´ ebastien Sottet1, and Jordi Cabot 1,2</t>
  </si>
  <si>
    <t>arXiv:2405.13620v2 [cs.SE] 24 May 2024</t>
  </si>
  <si>
    <t>. Low-code platforms (latest reincarnation of the long tradition of model-driven engineering approaches) have the potential of saving us countless hours of repetitive boilerplate coding tasks. However, as software systems grow in complexity, low-code platforms need to adapt as well. Notably, nowadays this implies adapting to the modeling and generation of smart software. At the same time, if we want to broaden the userbase of this type of tools, we should also be able to provide more open source alternatives that help potential users avoid vendor lock-ins and give them the freedom to explore low-code development approaches (even adapting the tool to better fit their needs). To fulfil these needs, we are building BESSER, an open source low-code platform for developing (smart) software. BESSER offers various forms (i.e., notations) for system and domain specification (e.g. UML for technical users and chatbots for business users) together with a number of generators. Both types of components can be extended and are open to contributions from the community. Key words: low-code, AI, Model-driven, DSL, code generation</t>
  </si>
  <si>
    <t>Platform comparison; AI and automation; Integration</t>
  </si>
  <si>
    <t>At the core of this architecture we have B-UML (short for BESSER’s Universal Modeling Language), the foundational language of the BESSER platform used for specifying domain models.</t>
  </si>
  <si>
    <t>Building BESSER: an open-source low-code platform ⋆ Iv´ an Alfonso1, Aaron Conrardy1, Armen Sulejmani1, Atefeh Nirumand1, Fitash Ul Haq1, Marcos Gomez-Vazquez1, Jean-S´ ebastien Sottet1, and Jordi Cabot 1,2 1 Luxembourg Institute of Science and Technology, Luxembourg {ivan.alfonso,aaron.conrardy,armen.sulejmani,atefeh.nirumand,fitash. ulhaq,marcos.gomez,jean-sebastien.sottet,jordi.cabot}@list.lu 2 University of Luxembourg, Luxembourg Abstract.</t>
  </si>
  <si>
    <t>By leveraging IFML, we ensure compatibility and interoperability with existing UI modeling tools and frameworks.</t>
  </si>
  <si>
    <t>At the same time, if we want to broaden the userbase of this type of tools, we should also be able to provide more open source alternatives that help potential users avoid vendor lock-ins and give them the freedom to explore low-code development approaches (even adapting the tool to better fit their needs).</t>
  </si>
  <si>
    <t>BESSER; Mendix; OutSystems; ChatGPT</t>
  </si>
  <si>
    <t>This abstract syntax also enables the definition of GUI components that read and modify elements from a diversity of data sources, including B-UML model elements.</t>
  </si>
  <si>
    <t>Low-code platforms (latest reincarnation of the long tradition of model-driven engineering approaches) have the potential of saving us countless hours of repetitive boilerplate coding tasks.</t>
  </si>
  <si>
    <t>Key words: low-code, AI, Model-driven, DSL, code generation 1 Introduction Low-code platforms are designed to accelerate software delivery by minimizing hand-coding efforts [15]. | To address these needs, we are developing BESSER, short for BEtter Smart Software FastER, an open-source low-code platform for smart software development.</t>
  </si>
  <si>
    <t>However, as software systems grow in complexity, low-code platforms need to adapt as well. | 2 Iv´ an Alfonso et al. input, and the need to address emerging security and sustainability concerns.</t>
  </si>
  <si>
    <t>2 Iv´ an Alfonso et al. input, and the need to address emerging security and sustainability concerns.</t>
  </si>
  <si>
    <t>The goal by providing the necessary tools to produce a dashboard showcasing the performance of climate solutions and the progress on reaching various climate related goals such as net neutrality. | 6 Iv´ an Alfonso et al. enhancing the circular economy and improving product traceability by collecting data throughout their lifecycle.</t>
  </si>
  <si>
    <t>To address these needs, we are developing BESSER, short for BEtter Smart Software FastER, an open-source low-code platform for smart software development.</t>
  </si>
  <si>
    <t>Nevertheless, given that Python is the default language for all types of Machine Learning (ML) libraries and frameworks we decided to opt for Python as core language for BESSER.</t>
  </si>
  <si>
    <t>This includes the growing need to develop/deploy/integrate Artificial Intelligence (AI) components to support and provide advanced features.</t>
  </si>
  <si>
    <t>However, as software systems grow in complexity, low-code platforms need to adapt as well.</t>
  </si>
  <si>
    <t>We have witnessed an explosion of low-code tools, mostly targeting Enterprise software [14], with Gartner defining Mendix, OutSystems, Microsoft, ServiceNow, Appian and Salesforce as leaders in this space [11].</t>
  </si>
  <si>
    <t>for more complex scenarios. An example would be the definition of AI-enhanced interfaces, that, if done, usually only consists of adding endpoints to third party applications (e.g. integration of third party chatbots or Appian’s OpenAI plugin), acting rather as an add-on than an actual integral component of the application. Moreover, they are proprietary ecosystems where modelers usually do not even have access to the code generated from their models as applications are transparently deployed in the vendor’s cloud. This is convenient but at the same time generates a clear vendor lock-in. Given the increasing complexity of software development, we argue there is a need for powerful open source low-code platforms that facilitate the adoption of low-code approaches while offering an extensible environment enabling companies to adapt and tailor the tool to their specific needs, but also tackling applications beyond Enterprise software, such as AR/VR interfaces or digital twins. To address these needs, we are developing BESSER, short for BEtter Smart Software FastER, an open-source low-code platform for smart software development. BESSER is available in our project repository [1]. The platform development is a core element in a 5-year funded project on this same topic, guaranteeing the evolution of the platform over the next years. The rest of this paper is as follows: in Section...</t>
  </si>
  <si>
    <t>, we plan to add smart components to BESSER itself, facilitating the creation of B-UML models via low-modeling techniques [3] such as chatbots or automatic model inference from (semi)structured data.</t>
  </si>
  <si>
    <t>Section 3 showcases some practical applications of BESSER through case studies.</t>
  </si>
  <si>
    <t>Iv´ an Alfonso1, Aaron Conrardy1, Armen Sulejmani1, Atefeh Nirumand1, Fitash; Ul Haq1, Marcos Gomez-Vazquez1, Jean-S´ ebastien Sottet1, and Jordi Cabot 1,2 (2023). Building BESSER: an open-source low-code platform ⋆ Iv´ an Alfonso1, Aaron Conrardy1, Armen Sulejmani1, Atefeh Nirumand1, Fitash. arXiv:2405.13620v2 [cs.SE] 24 May 2024.</t>
  </si>
  <si>
    <t>P021</t>
  </si>
  <si>
    <t>21.An Empirical Study on Low Code Programming using Traditional vs Large Language Model Support.pdf</t>
  </si>
  <si>
    <t>research paper\21.An Empirical Study on Low Code Programming using Traditional vs Large Language Model Support.pdf</t>
  </si>
  <si>
    <t>An Empirical Study on Low-Code Programming using Traditional vs Large Language Model Support</t>
  </si>
  <si>
    <t>Model Support; Yongkun Liua, Jiachi Chena,∗, Tingting Bib,c, John Grundyd, Yanlin Wanga, Jianxing Yue, Ting Chenf, Yutian Tangg, Zibin Zhenga,h; gUniversity of Glasgow, United Kingdom</t>
  </si>
  <si>
    <t>arXiv:2402.01156v3 [cs.SE] 5 Dec 2025</t>
  </si>
  <si>
    <t>Low-code programming, Large language model, Empirical Study 1.</t>
  </si>
  <si>
    <t>Low-code programming (LCP) refers to programming using models at higher levels of abstraction, resulting in less manual and more efficient programming, and reduced learning effort for amateur developers. Many LCP tools have rapidly evolved and have benefited from the concepts of visual programming languages (VPLs) and programming by demonstration (PBD). With the huge increase in interest in using large language models (LLMs) in software engineering, LLM-based LCP has begun to become increasingly important. However, the technical principles and application scenarios of traditional approaches to LCP and LLM-based LCP are significantly different. Understanding these key differences and characteristics in the application of the two approaches to LCP by users is crucial for LCP providers in improving existing and developing new LCP tools and in better assisting users in choosing the appropriate LCP technology. We conducted an empirical study of both traditional LCP and LLM-based LCP. We analyzed developers’ discussions on Stack Overflow (SO) over the past three years and then explored the similarities and differences between traditional LCP and LLM-based LCP features and developer feedback. Our findings reveal that while traditional LCP and LLMbased LCP share common primary usage scenarios, they significantly differ in scope, limitations, and usage throughout the software development lifecycle, particularly during the implementation phase. We also examine how LLMs impact and integrate with LCP, discussing the latest technological developments in LLM-based LCP, such as its int...</t>
  </si>
  <si>
    <t>Platform comparison; Quality assurance and testing; Integration</t>
  </si>
  <si>
    <t>Many LCP tools have rapidly evolved and have benefited from the concepts of visual programming languages (VPLs) and programming by demonstration (PBD). | Our findings reveal that while traditional LCP and LLMbased LCP share common primary usage scenarios, they significantly differ in scope, limitations, and usage throughout the software development lifecycle, particularly during the implementation phase. | Recently, Hirzel [2] categorized the latest LCP technologies into three primary technol...</t>
  </si>
  <si>
    <t>An Empirical Study on Low-Code Programming using Traditional vs Large Language Model Support Yongkun Liua, Jiachi Chena,∗, Tingting Bib,c, John Grundyd, Yanlin Wanga, Jianxing Yue, Ting Chenf, Yutian Tangg, Zibin Zhenga,h aSchool of Software Engineering, Sun Yat-sen University, China bThe University of Melbourne, Australia cThe University of Western Australia, Australia dFaculty of Information Technology, Monash University, Australia eSchool of Artificial Intelligence, Sun Yat-sen University,...</t>
  </si>
  <si>
    <t>low-code; no-code; visual programming</t>
  </si>
  <si>
    <t>At the same time, we acknowledge the non-determinism of large language models; in future work, we plan to explore more robust approaches, such as model fine-tuning and ensemble/multi-agent frameworks, to further enhance reproducibility and stability.</t>
  </si>
  <si>
    <t>Understanding these key differences and characteristics in the application of the two approaches to LCP by users is crucial for LCP providers in improving existing and developing new LCP tools and in better assisting users in choosing the appropriate LCP technology.</t>
  </si>
  <si>
    <t>Power Apps; Mendix; OutSystems; AppSheet; ChatGPT</t>
  </si>
  <si>
    <t>Finally, we performed a manual analysis on the 1,688 posts filtered (642 and 1,046 posts for traditional and LLMbased LCP, respectively) [14] to answer the following three research questions: RQ1.What application domains do discussions on traditional LCP and LLM-based LCP focus on? | In addressing this research question, we analyzed a total of 65 instances related to LLMbased LCP and 95 instances concerning traditional LCP. | Methodology Figure 1 shows an overview of the process used to derive answers to our three research questions (RQs) from Stack Over- 3</t>
  </si>
  <si>
    <t>To further refine our dataset and ensure relevance to our research objectives, we employed ChatGPT, utilizing custom-designed prompts.</t>
  </si>
  <si>
    <t>Based on the latest works [33, 34], we selected the most popular LLM-based tools and code generation tools as keywords.</t>
  </si>
  <si>
    <t>Many LCP tools have rapidly evolved and have benefited from the concepts of visual programming languages (VPLs) and programming by demonstration (PBD).</t>
  </si>
  <si>
    <t>This means that at the ChatGPT screening stage, the accuracy of ChatGPT in identifying LCP-related posts was 56.9%. | favoring higher recall, the method achieved a recall of 87.18%, which ensured that most potentially relevant posts were captured. | Notably, the predominant areas of focus include general issues, web frontend, web backend, and data management, which collectively account for 79.32% of the discussions. | General issues are a significant focus in LLM-based LCP discussions, accounting for 32.86%, whereas API integration takes the lead in traditional LCP discussions, reaching a substantial 36.60%.</t>
  </si>
  <si>
    <t>By applying LCP, professional developers can reduce time-consuming and repetitive manual coding, and thereby improve development efficiency.</t>
  </si>
  <si>
    <t>For instance, users of LLM-based LCP grapple with higher demands for technical expertise and face more pronounced reliability concerns.</t>
  </si>
  <si>
    <t>Many LCP tools have rapidly evolved and have benefited from the concepts of visual programming languages (VPLs) and programming by demonstration (PBD). | Our findings reveal that while traditional LCP and LLMbased LCP share common primary usage scenarios, they significantly differ in scope, limitations, and usage throughout the software development lifecycle, particularly during the implementation phase. | Recently, Hirzel [2] categorized the latest LCP technologies into three primary technologies: visual programming languages (VPLs) [5], programming by demonstration (PBD) [6], and programming by natural language (PBNL) [7].</t>
  </si>
  <si>
    <t>An Empirical Study on Low-Code Programming using Traditional vs Large Language Model Support Yongkun Liua, Jiachi Chena,∗, Tingting Bib,c, John Grundyd, Yanlin Wanga, Jianxing Yue, Ting Chenf, Yutian Tangg, Zibin Zhenga,h aSchool of Software Engineering, Sun Yat-sen University, China bThe University of Melbourne, Australia cThe University of Western Australia, Australia dFaculty of Information Technology, Monash University, Australia eSchool o... | Many LCP tools have rapidly evolved and have benefited from the concepts of visual programming languages (VPLs) and programming by demonstration (PBD).</t>
  </si>
  <si>
    <t>However, the technical principles and application scenarios of traditional approaches to LCP and LLM-based LCP are significantly different. | Our findings reveal that while traditional LCP and LLMbased LCP share common primary usage scenarios, they significantly differ in scope, limitations, and usage throughout the software development lifecycle, particularly during the implementation phase.</t>
  </si>
  <si>
    <t>If these components had quality or security issues, the stability and reliability of the developed applications would be affected.</t>
  </si>
  <si>
    <t>In contrast, LLM-based LCP typically provided developers with more flexibility and control.</t>
  </si>
  <si>
    <t>LLMs are widely used to generate code across various programming languages using natural language and achieve great performance on various programming tasks, e.g., code generation and code completion [11, 12], which significantly enhances software development efficiency. | There are several phases in the software development life cycle, i.e., requirement analysis &amp; planning, design, implementation, deployment, testing, maintenance.</t>
  </si>
  <si>
    <t>This feature further speeds up the traditional LCP development workflow and reduces the cognitive load on the LCP tool for developers.</t>
  </si>
  <si>
    <t>There are several phases in the software development life cycle, i.e., requirement analysis &amp; planning, design, implementation, deployment, testing, maintenance.</t>
  </si>
  <si>
    <t>LCP also allows amateur developers, referring to individuals with minimal ∗Corresponding author Email addresses:liuyk39@mail2.sysu.edu.cn(Yongkun Liu), chenjch86@mail.sysu.edu.cn(Jiachi Chen), Tingting.Bi@unimelb.edu.au(Tingting Bi),John.Grundy@monash.edu (John Grundy),wangylin36@mail.sysu.edu.cn(Yanlin Wang), yujx26@mail2.sysu.edu.cn(Jianxing Yu), brokendragon@uestc.edu.cn(Ting Chen), yutian.tang@glasgow.ac.uk(Yutian Tang), zhzibin@mail.sysu.edu.cn(Zibin Zheng) or no formal programming training, to achieve programming objectives with much l...</t>
  </si>
  <si>
    <t>An Empirical Study on Low-Code Programming using Traditional vs Large Language Model Support Yongkun Liua, Jiachi Chena,∗, Tingting Bib,c, John Grundyd, Yanlin Wanga, Jianxing Yue, Ting Chenf, Yutian Tangg, Zibin Zhenga,h aSchool of Software Engineering, Sun Yat-sen University, China bThe University of Melbourne, Australia cThe University of Western Australia, Australia dFaculty of Information Technology, Monash University, Australia eSchool of Artificial Intelligence, Sun Yat-sen University, China fShenzhen Institute for Advanced Study, Uni...</t>
  </si>
  <si>
    <t>However, the technical principles and application scenarios of traditional approaches to LCP and LLM-based LCP are significantly different.</t>
  </si>
  <si>
    <t>An Empirical Study on Low-Code Programming using Traditional vs Large Language Model Support Yongkun Liua, Jiachi Chena,∗, Tingting Bib,c, John Grundyd, Yanlin Wanga, Jianxing Yue, Ting Chenf, Yutian Tangg, Zibin Zhenga,h aSchool of Software Engineering, Sun Yat-sen University, China bThe University of Melbourne, Australia cThe University of Western Australia, Australia dFaculty of Information Technology, Monash University, Australia eSchool of Artificial Intelligence, Sun Yat-sen University, China fShenzhen Institute for Advanced Study, University of Electronic Science and Technology of China, China gUniversity of Glasgow, United Kingdom hZhuhai Key Laboratory of Trusted Large Language Models, China Abstract Low-code programming (LCP) refers to programming using models at higher levels of abstraction, resulting in less manual and more efficient programming, and reduced learning effor...</t>
  </si>
  <si>
    <t>We used the constant comparison method to collect 412 instances related to traditional LCP, and 559 instances related to LLM-based LCP.</t>
  </si>
  <si>
    <t>PDF text extracted from 20 pages; sample evidence page: Not reported.</t>
  </si>
  <si>
    <t>, and usage throughout the software development lifecycle, particularly during the implementation phase. We also examine how LLMs impact and integrate with LCP, discussing the latest technological developments in LLM-based LCP, such as its integration with VPLs and the application of LLM Agents in software engineering. Keywords: Low-code programming, Large language model, Empirical Study 1. Introduction Low-code programming (LCP) has recently become a discussed topic in software development communities [1]. It primarily aims to minimize the use of low-level textual programming languages and utilize higher levels of model abstractions that align more closely with natural human thought processes for developing software [2]. By applying LCP, professional developers can reduce time-consuming and repetitive manual coding, and thereby improve development efficiency. LCP also allows amateur developers, referring to individuals with minimal ∗Corresponding author Email addresses:liuyk39@mail2.sysu.edu.cn(Yongkun Liu), chenjch86@mail.sysu.edu.cn(Jiachi Chen), Tingting.Bi@unimelb.edu.au(Tingting Bi),John.Grundy@monash.edu (John Grundy),wangylin36@mail.sysu.edu.cn(Yanlin Wang), yujx26@mail2.sysu.edu.cn(Jianxing Yu), brokendragon@uestc.edu.cn(Ting Chen), yutian.tang@glasgow.ac.uk(Yutian Tang), zhzibin@mail.sysu.edu.cn(Zibin Zheng) or no formal programming training, to achieve programming...</t>
  </si>
  <si>
    <t>are articulated in Section 7. 2. Background 2.1. Low-Code Programming The term “low-code” first appeared in a report published by Forrester Research in 2014 [15]. The original meaning of the term was that applications could be developed quickly with minimal manual coding and minimal up-front investment in setup, training, and deployment. However, in subsequent reports and research on LCP, the definition of the term “low-code” remained in a constant state of flux and ambiguity [16, 17, 18]. To address this ambiguity, the definition proposed by Hirzel [2] is adopted in this paper, which emphasizes that LCP are technologies designed to minimize text-based programming, with the core aim of reducing reliance on manual coding, whether through VPLs, PBD, or PBNL. Whether for professional developers or amateur developers, the purpose of LCP is to save manual programming time and reduce the learning cost of manual programming as much as possible [19]. Traditional LCP tools, such as Power App...</t>
  </si>
  <si>
    <t>Developers frequented the platform to delve into issues related to the practical aspects of coding, making the implementation phase the focal point of discussions.</t>
  </si>
  <si>
    <t>Model Support; Yongkun Liua, Jiachi Chena,∗, Tingting Bib,c, John Grundyd, Yanlin Wanga, Jianxing Yue, Ting Chenf, Yutian Tangg, Zibin Zhenga,h; gUniversity of Glasgow, United Kingdom (2025). An Empirical Study on Low-Code Programming using Traditional vs Large Language Model Support. arXiv:2402.01156v3 [cs.SE] 5 Dec 2025.</t>
  </si>
  <si>
    <t>P022</t>
  </si>
  <si>
    <t>22.Turning Low-Code Development Platforms into True No-Code with LLMs.pdf</t>
  </si>
  <si>
    <t>research paper\22.Turning Low-Code Development Platforms into True No-Code with LLMs.pdf</t>
  </si>
  <si>
    <t>10.1145/3652620.3688334</t>
  </si>
  <si>
    <t>Turning Low-Code Development Platforms into True No-Code with LLMs</t>
  </si>
  <si>
    <t>No-Code with LLMs; Nathan Hagel, Nicolas Hili, Didier Schwab; Nathan Hagel, Nicolas Hili, Didier Schwab. Turning Low-Code Development Platforms into True No-Code; with LLMs. MODELS Companion ’24, Sep 2024, Linz (AUSTRIA), Austria. ⟨10.1145/3652620.3688334⟩. ⟨hal-</t>
  </si>
  <si>
    <t>2024</t>
  </si>
  <si>
    <t>This is a preprint version. See ACM for the final official version.; To appear in the ACM/IEEE 27th International Conference on Model Driven Engineering Languages and Systems</t>
  </si>
  <si>
    <t>LLM, AI, low-code development platform, meta-model, model-driven engineering, DSL This is a preprint version. See ACM for the final official version. To appear in the ACM/IEEE 27th International Conference on Model Driven Engineering Languages and Systems (MODELS Companion ’24), September 22-27, 2024, Linz, Austria. http://dx.doi.org/10.1145/365262</t>
  </si>
  <si>
    <t>The relevance of low-code / no-code development has grown substantially in research and practice over the years to allow nontechnical users to create applications and, therefore, democratise software development. One problem in this domain still persists: many platforms remain low-code as the underlying modeling layer still requires professionals to write/design a model, often using Domain Specific Languages (DSLs). With the rise of generative AI and Large Language Models (LLMs) and their capabilities, new possibilities emerge on how Low Code Development Platforms (LCDPs) can be improved. This paper shows how the capabilities of LLMs can be leveraged to turn DSL-based low-code platforms into true no-code. We analyzed how textual modeling can be replaced by generating the required model using LLMs. We conducted a user experiment to compare textual modeling with the use of LLMs for that task. Our results show that task completion time could be significantly improved, and the majority of users prefer using the LLM-aided modeling. Based on these findings, we discuss the integration of these techniques into an existing low-code platform to transform it into true no-code. CCS Concepts •Software and its engineering → Software development techniques.</t>
  </si>
  <si>
    <t>Model-driven / visual programming roots; Platform comparison; Usability and user experience</t>
  </si>
  <si>
    <t>Our results show that task completion time could be significantly improved, and the majority of users prefer using the LLM-aided modeling. | Based on these findings, we discuss the integration of these techniques into an existing low-code platform to transform it into true no-code. | The results, logs, and implementation of our approach can be found in the supplementary material [11].</t>
  </si>
  <si>
    <t>Distributed under a Creative Commons CC BY-NC 4.0 - Attribution - Non-commercial use - International License Turning Low-Code Development Platforms into True No-Code with LLMs Nathan Hagel, Nicolas Hili, Didier Schwab To cite this version: Nathan Hagel, Nicolas Hili, Didier Schwab.</t>
  </si>
  <si>
    <t>Grenoble Alpes, CNRS Grenoble INP, LIG 38000 Grenoble, France didier.schwab@univ-grenoblealpes.fr Abstract The relevance of low-code / no-code development has grown substantially in research and practice over the years to allow nontechnical users to create applications and, therefore, democratise software development.</t>
  </si>
  <si>
    <t>Different meta-modeling frameworks exist to specify meta-models, e.g., Eclipse Modeling Framework (EMF) [34] and MetaEdit+ [14].</t>
  </si>
  <si>
    <t>Experiment</t>
  </si>
  <si>
    <t>scientific</t>
  </si>
  <si>
    <t>Research questions and contributions: The main research question addressed in this paper is: RQ1. | To answer RQ1, this paper presents an approach to how LLMs can be integrated into model-based LCDPs. | This main research question led to the formalization of two subsidiary questions: RQ2.</t>
  </si>
  <si>
    <t>However, it comes with a significant drawback as for effective fine-tuning big datasets are required.</t>
  </si>
  <si>
    <t>We conducted the experiment with 18 participants (9 male, 9 female), aged 18-44 (M=26,78, SD=7,69).</t>
  </si>
  <si>
    <t>However, transitioning from “low-code” to “no-code” is still a research challenge as code is still required to i) formally describe the data entities to manipulate and their relationships; ii) describe how data is aggregated to be presented onto the screen; and iii) describe how an IS can be generated from a conceptual model.</t>
  </si>
  <si>
    <t>To appear in the ACM/IEEE 27th International Conference on Model Driven Engineering Languages and Systems (MODELS Companion ’24), September 22-27, 2024, Linz, Austria. http://dx.doi.org/10.1145/3652620.3688334 1 Introduction With information’s increased value, developing software tools to manipulate, store, and analyze it has become a challenging task.</t>
  </si>
  <si>
    <t>2.2 Model-driven Engineering (MDE) MDE is nowadays an established discipline for developing complex software systems [19] by reducing platform complexity through adding a layer of abstraction on top of the programming languages [15, 30]. | We conducted the experiment with 18 participants (9 male, 9 female), aged 18-44 (M=26,78, SD=7,69). | Most of the participants (66.6%) stated that they use LLMs like ChatGPT Very Frequently or Frequently. | After each condition (1 + 2 tasks), the participant had to answer a questionnaire, including the System Usability Scale (SUS) questions, to assess the perceived usability.</t>
  </si>
  <si>
    <t>The ability to quickly make decisions based on the collection of heterogeneous, possibly large amounts of data originating from different sources in real-time requires complex representations and advanced analysis tools that are now more and more integrated into large Information Systems (ISes), making their development even more complex.</t>
  </si>
  <si>
    <t>With the rise of generative AI and Large Language Models (LLMs) and their capabilities, new possibilities emerge on how Low Code Development Platforms (LCDPs) can be improved. | Our results show that task completion time could be significantly improved, and the majority of users prefer using the LLM-aided modeling.</t>
  </si>
  <si>
    <t>One problem in this domain still persists: many platforms remain low-code as the underlying modeling layer still requires professionals to write/design a model, often using Domain Specific Languages (DSLs). | This paper intends to address this challenge by combining two paradigms, namely Low Code Development Platforms (LCDPs) and Large Language Models (LLMs).</t>
  </si>
  <si>
    <t>One reason that can explain the lack of performance from LLMs is the high expressiveness that general-purpose programming languages such as Java can offer.</t>
  </si>
  <si>
    <t>This has a negative impact on developers, who have to constantly innovate to develop software applications faster while maintaining robustness.</t>
  </si>
  <si>
    <t>Leveraging LCDPs for developing software systems is appealing to end-users with no programming skills who want to have a key role in the process of creating their systems.</t>
  </si>
  <si>
    <t>The proposed approach is platform-independent: it does not require a specific LLM to be used since it does not require a specific training phase; it does not depend on a specific modeling framework since the heart of the approach only relies on models conforming to dedicated textual syntaxes that any kind of parsers could process.</t>
  </si>
  <si>
    <t>L’archive ouverte pluridisciplinaire HAL, est destinée au dépôt et à la diffusion de documents scientifiques de niveau recherche, publiés ou non, émanant des établissements d’enseignement et de recherche français ou étrangers, des laboratoires publics ou privés.</t>
  </si>
  <si>
    <t>Creating them can be quite costly [20, 32]. // missing row 1 (2 widgets) for space reasons row { text input { references Event.location label "Location" icon "icon-location-pin" placeholder "Enter the location" } combobox { references Event.type label "Type of Event" icon "icon-options" placeholder "Select the event type" } } row { calendar { references Event.begin Event.end icon "icon-calendar" label "Event Dates" placeholder "Choose the event dates" } textarea { references Event.cfp label "Call for Papers" icon "icon-doc" placeholder "Ente...</t>
  </si>
  <si>
    <t>With the rise of generative AI and Large Language Models (LLMs) and their capabilities, new possibilities emerge on how Low Code Development Platforms (LCDPs) can be improved.</t>
  </si>
  <si>
    <t>Keywords LLM, AI, low-code development platform, meta-model, model-driven engineering, DSL This is a preprint version.</t>
  </si>
  <si>
    <t>PDF text extracted from 11 pages; sample evidence page: p. 7.</t>
  </si>
  <si>
    <t>of this approach will likely co-develop with the limitations of state-of-the-art LLMs. 7 Related Work This section reviews related work on the topic focussing on the application of LLMs for DSLs and LCDPs. Busch et al. [6] present a Low-/No-Code approach to creating applications using first, a graphical model created by the user and second, a prompt frame. This prompt frame is then filled with a natural language description of the user to extend the existing model with e.g., semantics. The goal of the prompt is to generate code, which is added to the code generated from the graphically defined model. Together, these two pieces create the final application. The approach was successfully implemented in a running example to create a point-and-click adventure game. Grammar Prompting by Wang et al. focuses on the generation of grammar-based DSLs in general (not only DSLs in the context of LCDPs) [35]. However, their approach could be applied and useful when integrating LLMs into existing LCDPs as it describes a way to create prompts that successfully generate DSLs by only providing parts of the grammar. The full grammar is only provided for small DSLs. This approach, similar to subsection 3.1, also requires examples in the prompt, which are in contrast to this proposal, labeled. They contain a query, a minimal provided grammar, and the result. Their prompt template requests the L...</t>
  </si>
  <si>
    <t>; Section 7 presents related work; Section 8 concludes. 2 Foundations This section gives an overview of the relevant foundations and background required for the present work. 2.1 Low-/No-Code Development LCDPs allow citizen developers (developers with little or no software engineering background [22]) to rapidly deliver, set up, and deploy applications, reducing the amount of hand-written code to a minimum [29]. Therefore they are appealing to a larger group of stakeholders, as less or no software engineering knowledge is required to develop applications that meet the stakeholders specific needs. One relevant aspect of LCDP is the rapid creation, deployment, and release of new versions of the created application. As webbased systems are often easier and cheaper to deploy than desktop ones [31], they are more aligned with low-code development [28]. LCDPs facilitate development through, e.g., drag’n’drop-oriented interactions or the composition of pre-built components or widgets. Idea...</t>
  </si>
  <si>
    <t>But, over the past years, the context size of mainstream LLMs such as ChatGPT exponentially grew, making the context size no longer a practical limit.</t>
  </si>
  <si>
    <t>No-Code with LLMs; Nathan Hagel, Nicolas Hili, Didier Schwab; Nathan Hagel, Nicolas Hili, Didier Schwab. Turning Low-Code Development Platforms into True No-Code; with LLMs. MODELS Companion ’24, Sep 2024, Linz (AUSTRIA), Austria. ⟨10.1145/3652620.3688334⟩. ⟨hal- (2024). Turning Low-Code Development Platforms into True No-Code with LLMs. This is a preprint version. See ACM for the final official version.; To appear in the ACM/IEEE 27th International Conference on Model Driven Engineering Languages and Systems.</t>
  </si>
  <si>
    <t>https://doi.org/10.1145/3652620.3688334</t>
  </si>
  <si>
    <t>P023</t>
  </si>
  <si>
    <t>23.Low-code vs the developer.pdf</t>
  </si>
  <si>
    <t>research paper\23.Low-code vs the developer.pdf</t>
  </si>
  <si>
    <t>10.1145/3652620.3688332</t>
  </si>
  <si>
    <t>Low-code vs. the developer: An empirical study on the developer experience and efficiency of a no-code platform</t>
  </si>
  <si>
    <t>Till Guthardt; Jens Kosiol; Oliver Hohlfeld</t>
  </si>
  <si>
    <t>ACM Reference Format:; a no-code platform. In ACM/IEEE 27th International Conference on Model; Driven Engineering Languages and Systems (MODELS Companion ’24), September 22-27, 2024, Linz, Austria. ACM, New York, NY, USA, 10 pages.</t>
  </si>
  <si>
    <t>Low-code development platform, citizen development, developer efficiency ACM Reference Format: Till Guthardt, Jens Kosiol, and Oliver Hohlfeld. 2024. Low-code vs. the developer: An empirical study on the developer experience and efficiency of a no-code platform. In ACM/IEEE 27th International Conference on Model Driven Engineering Languages and Sys</t>
  </si>
  <si>
    <t>The shortage of competent software developers has led to increased interest in Low-Code Development Platforms (LCDPs), which enable application development with no or minimal coding by leveraging pre-built components. This study explores whether LCDPs can fulfill their promise of empowering “citizen developers” without extensive programming experience. Our paper involves a two-part empirical study. First, we conducted semi-structured interviews with small and medium-sized enterprises (SMEs) to understand their acceptance of LCDPs and identify potential barriers, such as the need for extensive training. Second, we performed a quantitative experiment to compare the performance of programmers and CDs using a prototype no-code builder. The results reveal no significant difference in task correctness or processing time between the two groups, suggesting that the training concerns for CDs may be overstated. These findings indicate that LCDPs could indeed democratize software development, allowing SMEs to develop necessary applications cost-effectively with minimal training requirements. CCS CONCEPTS •Software and its engineering → Integrated and visual development environments; Model-driven software engineering; Visual languages.</t>
  </si>
  <si>
    <t>Enterprise adoption; Education and training; Usability and user experience</t>
  </si>
  <si>
    <t>The results reveal no significant difference in task correctness or processing time between the two groups, suggesting that the training concerns for CDs may be overstated. | These findings indicate that LCDPs could indeed democratize software development, allowing SMEs to develop necessary applications cost-effectively with minimal training requirements. | Our most interesting finding is that prior programming experience neither effects correctness nor processing time in a statistically sign...</t>
  </si>
  <si>
    <t>Low-code vs. the developer: An empirical study on the developer experience and efficiency of a no-code platform Till Guthardt till.guthardt@student.uni-kassel.de University of Kassel Kassel, Germany Jens Kosiol jens.kosiol@uni-kassel.de University of Kassel Kassel, Germany Oliver Hohlfeld oliver.hohlfeld@uni-kassel.de University of Kassel Kassel, Germany ABSTRACT The shortage of competent software developers has led to increased interest in Low-Code Development Platforms (LCDPs), which enable...</t>
  </si>
  <si>
    <t>low-code; no-code; citizen development</t>
  </si>
  <si>
    <t>The next parts collect prior experience with low- or nocode and software development by asking about the tools used and for what purpose, well as the languages and frameworks used for programming.</t>
  </si>
  <si>
    <t>manufacturing</t>
  </si>
  <si>
    <t>This study explores whether LCDPs can fulfill their promise of empowering “citizen developers” without extensive programming experience.</t>
  </si>
  <si>
    <t>In this qualitative study, we aim to answer our first research question (RQ1): How accepted are LCDPs in SMEs and what barriers prevent SMEs from using them? | In our second, quantitative study (see § 4), we aim to answer the question (RQ2): What experience is required to use no-code tools 1As others [10, 21, 28], we do not further distinguish between low-code and no-code (development platforms) in this paper, but understand low-code to be the more general term that encompasses no-code. | This approach allows us to ask predetermined questions and explore topics based on the interviewee’s responses, providing a wide range of answers while enabling us to study our main research question in a controlled manner [33].</t>
  </si>
  <si>
    <t>In this paper, we take a first step to close this gap by studying the experience and performance of both experienced and inexperienced participants in creating apps in a no-node builder as a LCDP.</t>
  </si>
  <si>
    <t>For this, we conduct an experiment where 10 participants (5 of which were without prior programming experience) perform tasks in our prototype LCDP.</t>
  </si>
  <si>
    <t>2 PROTOTYPE: A SIMPLE NO-CODE BUILDER To enable our studies in § 3 and 4, we implement selected use cases expressed by industry representatives (see § 1) in a prototype, referred to as “no-code builder”.</t>
  </si>
  <si>
    <t>To conduct our study in a fully-controlled way that enables to derive measurements about task performance, we first develop our own prototype of a small LCDP (a no-code builder) that supports developing tools for the mentioned tasks like time tracking (see § 2).</t>
  </si>
  <si>
    <t>For this, we conduct an experiment where 10 participants (5 of which were without prior programming experience) perform tasks in our prototype LCDP. | All 10 participants are students, aged between 21 and 29 years, with the median age being 26.5 years. | Except for P1, all participants completed the task entirely and correctly and therefore scored 100 %. | In P1’s solution, three texts were not configured correctly, leading to a success rate of 92 %.</t>
  </si>
  <si>
    <t>Our most important threats to validity are the small sample size and potential interdependencies between the subjects (as 3 out of 6 stem from companies that are part of the same consortium).</t>
  </si>
  <si>
    <t>The results reveal no significant difference in task correctness or processing time between the two groups, suggesting that the training concerns for CDs may be overstated. | These findings indicate that LCDPs could indeed democratize software development, allowing SMEs to develop necessary applications cost-effectively with minimal training requirements. | Our most interesting finding is that prior programming experience neither effects correctness nor processing time in a statistically significant way (though, regarding processing time, differences are observable).</t>
  </si>
  <si>
    <t>This study explores whether LCDPs can fulfill their promise of empowering “citizen developers” without extensive programming experience. | Find out which features and benefits are particularly relevant.</t>
  </si>
  <si>
    <t>First, we conducted semi-structured interviews with small and medium-sized enterprises (SMEs) to understand their acceptance of LCDPs and identify potential barriers, such as the need for extensive training. | The results reveal no significant difference in task correctness or processing time between the two groups, suggesting that the training concerns for CDs may be overstated.</t>
  </si>
  <si>
    <t>Assessment of the priority of security aspects in the context LCDPs from a company perspective.</t>
  </si>
  <si>
    <t>A recent survey on citizen development [7] found that topics of focus for research are often organizational, like “Enablers and Expected Benefits of Citizen Development”, “Citizen Development Strategy and Implementation”, or “Citizen Development Governance”.</t>
  </si>
  <si>
    <t>Second, we performed a quantitative experiment to compare the performance of programmers and CDs using a prototype no-code builder. | Overall, the feedback indicates a strong need for specialized no-code builders tailored to specific business needs, with open source options offering significant benefits despite some concerns regarding implementation and maintenance.</t>
  </si>
  <si>
    <t>While a tendency for a somewhat faster processing time by experienced participants might be present, as evidenced by a faster mean and median, the observed differences are not statistically significant, not even when we exclude the slowest experienced participant as an outlier.</t>
  </si>
  <si>
    <t>MODELS Companion ’24, September 22-27, 2024, Linz, Austria Till Guthardt, Jens Kosiol, and Oliver Hohlfeld Table 4: Overview of the evaluation criteria and the points awarded in the user study Task area Points Login and app testing 0 points Creating the apps 2 points UI elements 14 points Assignment to functions/variables 11 points Creating the teams 2 points Assigning projects and team members 4 points Use of controllers 3 points Customization of a controller 1 point Total score 37 points can view public projects.</t>
  </si>
  <si>
    <t>In 6 interviews with experienced LCDP users (two of which were professional developers), Alyousef finds that experienced as well as citizen developers see programming experience as an advantage when working with LCDPs and report on the need of long training periods before CDs get productive [4].</t>
  </si>
  <si>
    <t>We recruited a total of 10 subjects for this study, aged between 21 and 29 years and students at the University of Kassel (9 subjects) or the TH Köln (1 subject), yet with different majors.</t>
  </si>
  <si>
    <t>First, we conducted semi-structured interviews with small and medium-sized enterprises (SMEs) to understand their acceptance of LCDPs and identify potential barriers, such as the need for extensive training.</t>
  </si>
  <si>
    <t>These findings indicate that LCDPs could indeed democratize software development, allowing SMEs to develop necessary applications cost-effectively with minimal training requirements.</t>
  </si>
  <si>
    <t>However, there is a lack of empirical studies that compare the performance of CDs with the performance of software developers.</t>
  </si>
  <si>
    <t>Direct comparison of the tool with other solutions from the expert’s perspective.</t>
  </si>
  <si>
    <t>Our protoype enables the creation of these apps and further enables the organization of users, teams, applications and projects.</t>
  </si>
  <si>
    <t>PDF text extracted from 10 pages; sample evidence page: p. 2.</t>
  </si>
  <si>
    <t>, and conditions of use. Some focus on individual developers [3, 5, 22], while others examine organizational issues [11, 16, 20]. Recent literature reviews include [7, 19, 24, 27]. The study most related to ours is by Elshan et al. [11], which also addresses SMEs. They interviewed 28 experts from companies using LCDPs, identifying benefits like expanding the developer pool and increasing digitization, and challenges such as vendor lock-in and limited functionality. Käss et al. [19, 20] performed a literature survey and expert interviews, finding “improved efficiency of software development” as the top driver for low-code adoption and “lack of LCD culture and reluctance to change” as the main inhibitor. Notably, they identified the complexity of LCDPs for CDs as an inhibitor not mentioned in other studies, a finding our study corroborates, as the fear of high training costs was frequently mentioned in our interviews. There is a lack of studies that empirically compare the usage and experiencing of LCDPs between unexperienced and experienced developers. A recent survey on citizen development [7] found that topics of focus for research are often organizational, like “Enablers and Expected Benefits of Citizen Development”, “Citizen Development Strategy and Implementation”, or “Citizen Development Governance”. While “Citizen Developer’s Profiles and Skills” is a further topic, th...</t>
  </si>
  <si>
    <t>Further research with larger sample sizes could lead to clearer results.</t>
  </si>
  <si>
    <t>Till Guthardt; Jens Kosiol; Oliver Hohlfeld (2024). Low-code vs. the developer: An empirical study on the developer experience and efficiency of a no-code platform. ACM Reference Format:; a no-code platform. In ACM/IEEE 27th International Conference on Model; Driven Engineering Languages and Systems (MODELS Companion ’24), September 22-27, 2024, Linz, Austria. ACM, New York, NY, USA, 10 pages..</t>
  </si>
  <si>
    <t>https://doi.org/10.1145/3652620.3688332</t>
  </si>
  <si>
    <t>P024</t>
  </si>
  <si>
    <t>24.Measuring End-user Developers.pdf</t>
  </si>
  <si>
    <t>research paper\24.Measuring End-user Developers.pdf</t>
  </si>
  <si>
    <t>10.37190/e-Inf240105</t>
  </si>
  <si>
    <t>Measuring End-user Developers’ Episodic Experience of a Low-code Development Platform</t>
  </si>
  <si>
    <t>Episodic Experience; of a Low-code Development Platform; A Preliminary Study; Dongmei Gao ∗</t>
  </si>
  <si>
    <t>e-Informatica Software Engineering Journal, Volume 18, Issue 1, 2024, pages: 240105, DOI: 10.37190/e-Inf240105; Dongmei Gao, Fabian Fagerholm e-Informatica Software Engineering Journal, 18 (2024), 240105</t>
  </si>
  <si>
    <t>developer experience, episodic experience, low-code development platforms, experience measurement, software engineering, human-computer interaction 1.</t>
  </si>
  <si>
    <t>Background: As low-code development platforms (LCDPs) are becoming a trend, understanding how end-user developers think and feel as they work with such platforms is important. Particularly, assessing experiences during episodes of use can contribute to overall experience throughout long-term use. Aim: This paper aims to understand end-user developers’ episodic experience when they are building an application on a low-code platform and to provide guidance on how such experiences can be measured. Method: We designed the Episodic Developer Experience Questionnaire for LCDPs based on prior literature and refined it through expert Delphi sessions. The instrument contains 10 individual experience items, capturing various aspects of episodic experience. We further validated it through remote online tests on an LCDP. Results: The results showed significant differences in the relationships between items describing aspects of overall experience and items describing perceptions of tool quality and task difficulty. Programming expertise also affected end-user developers’ episodic experience. Conclusion: The study illustrates the design of questionnaire-based experience assessment in the context of development and identifies the importance of separating personal experience from assessment of tasks and tools since tool quality and task difficulty do not necessarily influence experience straightforwardly.</t>
  </si>
  <si>
    <t>Usability and user experience; Education and training; Citizen development</t>
  </si>
  <si>
    <t>Results: The results showed significant differences in the relationships between items describing aspects of overall experience and items describing perceptions of tool quality and task difficulty. | Kuusinen [19] conducted a survey considering a particular cross-platform IDE and found characteristics such as efficiency of use, flexibility, informativeness, intuitiveness, and reliability to be appreciated by developers. | Intrinsic factors, such as autonomy and sense of achievement, have been...</t>
  </si>
  <si>
    <t>e-Informatica Software Engineering Journal, Volume 18, Issue 1, 2024, pages: 240105, DOI: 10.37190/e-Inf240105 Measuring End-user Developers’ Episodic Experience of a Low-code Development Platform A Preliminary Study Dongmei Gao ∗ , Fabian Fagerholm ∗ ∗Department of Computer Science, Aalto University dongmei.gao@aalto.fi, fabian.fagerholm@aalto.fi Abstract Background: As low-code development platforms (LCDPs) are becoming a trend, understanding how end-user developers think and feel as they w...</t>
  </si>
  <si>
    <t>As we can see in the market, LCDP vendors define their products as no-code or low-code tools according to their business goals.</t>
  </si>
  <si>
    <t>Fagerholm and Münch [1] proposed a conceptual framework for developer experience with three main dimensions - cognition (perception of development infrastructure), affect (emotional state about work) and conation (the value of one’s own contribution).</t>
  </si>
  <si>
    <t>education; scientific</t>
  </si>
  <si>
    <t>Recently, Low-Code Development Platforms (LCDPs) have emerged in the industry to enable domain experts without programming knowledge to build applications [8, 9].</t>
  </si>
  <si>
    <t>We formulated the following research question: Article number 240105 2 | Our research question asks how to measure the end-user developers’ episodic experience of a low-code development platform.</t>
  </si>
  <si>
    <t>Therefore, the impact of prior programming background was taken into account in this study by introducing a set of background questions for the participants of the task-based test.</t>
  </si>
  <si>
    <t>Task-based test To gain insights into how our instrument works when applied to practical settings, we performed a task-based experiment with 19 participants.</t>
  </si>
  <si>
    <t>We selected papers that presented questionnaire-based instruments that could potentially be relevant for measuring different aspects of developer experience.</t>
  </si>
  <si>
    <t>Method: We designed the Episodic Developer Experience Questionnaire for LCDPs based on prior literature and refined it through expert Delphi sessions.</t>
  </si>
  <si>
    <t>Task-based test To gain insights into how our instrument works when applied to practical settings, we performed a task-based experiment with 19 participants. | We therefore created a screening survey to obtain two groups of participants, one of which had 14 participants with a programming background and the other consisting of 5 participants without. | 7/10 (70%) of word pairs correlated with tool reliability in task 1 while 6/10 (60%) had significant correlations with tool reliability in task 2. | What is notable is that 4/10 (40%) of all experience items had significant correlations with tool reliability both in tasks 1 and 2.</t>
  </si>
  <si>
    <t>We take some steps towards examining the construct validity of the questionnaire as well as its content validity for practical and conceptual purposes, while properties of statistical generalisability are of secondary importance.</t>
  </si>
  <si>
    <t>Results: The results showed significant differences in the relationships between items describing aspects of overall experience and items describing perceptions of tool quality and task difficulty. | Kuusinen [19] conducted a survey considering a particular cross-platform IDE and found characteristics such as efficiency of use, flexibility, informativeness, intuitiveness, and reliability to be appreciated by developers. | Intrinsic factors, such as autonomy and sense of achievement, have been found to be essential motivators of software developers [5].</t>
  </si>
  <si>
    <t>Understanding and improving DX can contribute to better support and increased well-being for software developers and may ultimately lead to higher levels of creativity and productivity [3, 4]. | It can also inform iterative design improvements to the platform.</t>
  </si>
  <si>
    <t>Some recent studies have discussed the conceptual understanding of LCDPs [10, 11], their characteristics [8], and challenges and opportunities associated with their use [12]. | We seek to disentangle the experience from assessments of the tool and the task and discuss the challenges of doing so.</t>
  </si>
  <si>
    <t>We have chosen to use the term EUD in this paper because of its longer history, broader and more elaborate definition, and because we do not investigate the aspects of citizen development that relate the citizen developer and the applications they produce to the larger IT infrastructure and governance in an organisation.</t>
  </si>
  <si>
    <t>Sahay et al. [11] list four LCDP characteristics that have a large impact on DX: 1) interoperability, by creating standards and a friendly ecosystem in a domain to mitigate issues caused by closed sources; 2) extensibility, allowing developers to customise capabilities to reduce the design constraints; 3) the learning curve , which is still less intuitive for end-user developers; and 4) scalability, such as running on the cloud to manage intensive computing [11]. | Sahay et al. [11] list four LCDP characteristics that have a large impact on DX: 1) interoperability, by creating standards and a friendly ecosystem in a domain to mitigate issues caused by closed sources; 2) extensibility, allowing developers to customise capabilities to reduce the design constraints; 3) the learning curve , which is still less intuitive for end-user developers; and 4) scalability, such as running on the cloud to manage intensive computing [11].</t>
  </si>
  <si>
    <t>For example, they might be satisfied with the user interface of the tool but anxious about the slow speed at which they progress in making their application; or they might feel that the platform is hard to use but the task in itself is easy to complete.</t>
  </si>
  <si>
    <t>End-user developers End-user development (EUD) has been defined as “the set of methods, techniques, tools, and socio-technical environments that allow end users to act as professionals in those ICT-related domains in which they are not professionals, by creating, modifying, extending and testing digital artefacts without requiring knowledge in traditional software engineering techniques” [26].</t>
  </si>
  <si>
    <t>Most importantly, we assume that end-user developers range from professional developers to people who are not experienced with or specialised in conventional software development (so-called citizen developers) [29].</t>
  </si>
  <si>
    <t>Thus, professional developers (professionals with an education or career in software development) can benefit from LCDPs as well, for example by being more productive [29].</t>
  </si>
  <si>
    <t>Aim: This paper aims to understand end-user developers’ episodic experience when they are building an application on a low-code platform and to provide guidance on how such experiences can be measured.</t>
  </si>
  <si>
    <t>They simplify the development process, reduce the learning costs and visualise the coding environment to allow developers to spend less time on coding and focus on their goals.</t>
  </si>
  <si>
    <t>Software developers have often been understood as having expert programming knowledge, while end-user developers [7] may have different kinds of domain knowledge but © 2024 The Authors.</t>
  </si>
  <si>
    <t>To facilitate the comparison of experiences of LCDP use, we propose EDEQ-LCDP, a questionnaire instrument that captures important dimensions of developers’ episodic experience.</t>
  </si>
  <si>
    <t>Despite the crucial importance of usability in the product’s initial acceptance, aspects of reliability, motivation, comparison with other products, change in behaviour and touch points - how the product communicates with the user, for example by notifications and alerts - are even more crucial for a user to resonate with a product and value it in the long term.</t>
  </si>
  <si>
    <t>PDF text extracted from 24 pages; sample evidence page: p. 11.</t>
  </si>
  <si>
    <t>in mind, be used in tasks with other LCDPs as well. 2. Related work DX has been defined as “a means for capturing how developers think and feel about their activities within their working environments” [1]. Fagerholm and Münch [1] proposed a conceptual framework for developer experience with three main dimensions - cognition (perception of development infrastructure), affect (emotional state about work) and conation (the value of one’s own contribution). An extended discussion of the three dimensions was provided in a study of measuring DX toward the use of a Deep Learning (DL) platform [13]. Here, “cognition” is the rational basis provided by the DL platform, “affection” is explained as the emotional state, and “conation” is about the developer’s tendency to use the DL platform voluntarily. Transferring from the concept of user experience (UX), Fagerholm and Münch [1] conceptualised DX as experiences arising from the context of development, with impacts for individual developers and teams of developers, but also for organisational and product outcomes such as process adherence, productivity, and the quality of the end product. Thus, DX is a concern for developers themselves and for the organisations they work in and has implications for the customers and end-users of the software they produce. Time seems to have an impact on the importance people attribute to different qual...</t>
  </si>
  <si>
    <t>In further research or validation, a comparison of more tasks of different difficulties together would be advisable.</t>
  </si>
  <si>
    <t>Episodic Experience; of a Low-code Development Platform; A Preliminary Study; Dongmei Gao ∗ (2024). Measuring End-user Developers’ Episodic Experience of a Low-code Development Platform. e-Informatica Software Engineering Journal, Volume 18, Issue 1, 2024, pages: 240105, DOI: 10.37190/e-Inf240105; Dongmei Gao, Fabian Fagerholm e-Informatica Software Engineering Journal, 18 (2024), 240105.</t>
  </si>
  <si>
    <t>https://doi.org/10.37190/e-Inf240105</t>
  </si>
  <si>
    <t>P025</t>
  </si>
  <si>
    <t>25.Using LowCode and NoCode Tools in DevOps.pdf</t>
  </si>
  <si>
    <t>research paper\25.Using LowCode and NoCode Tools in DevOps.pdf</t>
  </si>
  <si>
    <t>10.1007/978-3-031-50590-4_5</t>
  </si>
  <si>
    <t>Using LowCode and NoCode Tools in DevOps: A Multivocal Literature Review</t>
  </si>
  <si>
    <t>in DevOps: A Multivocal Literature; Muhammad Waqas, Zohaib Ali, Mary Sánchez-Gordón,; and Monica Kristiansen</t>
  </si>
  <si>
    <t>© The Author(s), under exclusive license to Springer Nature Switzerland AG 2024</t>
  </si>
  <si>
    <t>Low-code · No-code · DevOps tools · Multivocal literature review M. Waqas · Z. Ali · M. Sánchez-Gordón (B) · M. Kristiansen Department of Computer Science and Communication, Østfold University College, 1757 Halden, Norway e-mail: mary.sanchez-gordon@hiof.no M. Waqas e-mail: muhammad.waqas@hiof.no Z. Ali e-mail: zohaib.ali@hiof.no M. Kristiansen e-m</t>
  </si>
  <si>
    <t>DevOps and Low-code/No-code tools are two trends that are gaining interest in both academic and industry environments. This study analyzed the usage of low-code and no-code tools in DevOps. It examined the available tools, their applications, and the associated concerns or limitations. To do so, a Multivocal Literature Review (MVLR) was conducted to include academic and grey literature. The results reveal the utilization of a range of tools across multiple aspects of DevOps, including application delivery, workflow automation, process management, continuous integration, deployment, monitoring and logging. Despite their potential benefits, concerns and limitations such as script standardization, security risks, limited customization, vendor lock-in, and scalability issues persist. This review, alongside identified concerns, emphasizes the increasing adoption and benefits of Low-code/ No-code tools in DevOps.</t>
  </si>
  <si>
    <t>AI and automation; Enterprise adoption; Productivity and speed</t>
  </si>
  <si>
    <t>The results reveal the utilization of a range of tools across multiple aspects of DevOps, including application delivery, workflow automation, process management, continuous integration, deployment, monitoring and logging. | Moreover, the International Data Corporation (IDC) survey found that organizations using DevOps practices experience a 17% improvement in team collaboration, which results in better alignment, quicker problem resolution, and better decision-making [ 5]. | Furthermore, com...</t>
  </si>
  <si>
    <t>Kaess [ 22] presents a research model that integrates social, technical, and environmental considerations for the adoption of LCDPs (Low-code Development Platforms).</t>
  </si>
  <si>
    <t>Using LowCode and NoCode Tools in DevOps: A Multivocal Literature … 79 • Nintex: This LCP is for process management and workflow automation [PS3], [PS5]. • Appian: This LCP enables quick deployment of enterprise applications using drag-and-drop tools, templates, and reusable components ([PS4], [PS5], [PS6], [PS10]). • Joget DX: This platform blends LC application development with business process automation and workflow customization [PS11]. • Stackstorm: This platform focuses on event-driven...</t>
  </si>
  <si>
    <t>DevOps transformation requires more than just cultural adjustment and tools, as new governance frameworks, resources, and processes are also necessary [ 2, 8].</t>
  </si>
  <si>
    <t>manufacturing; education; scientific; DevOps</t>
  </si>
  <si>
    <t>Using LowCode and NoCode Tools in DevOps: A Multivocal Literature … 73 of users of LC development tools will increase from 60% in 2021 to at least 80% by 2026 among developers outside of recognized IT departments.</t>
  </si>
  <si>
    <t>Then, we define the research questions based on the research objectives. | Google’s PageRank algorithm was used as a relevance ranking approach in Google Search and Google Scholar 3.2 Research Questions This literature review aims to understand the question, how can LC and NC tools support software development activities in the context of DevOps? | This high-level research question is broken down into the following research questions (RQs). • RQ1: What available LC and NC tools have been adopted/developed to support DevOps? • RQ2: How have LC and NC tools impacted DevOps? • RQ3: What are the concerns, or the limitations reported when using LC/NC tools in the context of DevOps?</t>
  </si>
  <si>
    <t>As we are interested in both grey and white literature, we include IEEE, Scopus, ACM, Springer and Google Scholar for white literature and DevOps.com, InfoQ, and Google Search for grey literature.</t>
  </si>
  <si>
    <t>Moreover, we included IEEE, Scopus, ACM and Springer and found a further 858 papers.</t>
  </si>
  <si>
    <t>3.3 Search Strategy To gather the sources included in this MVLR, an extensive screening of scientific and grey literature that pertained to the topic was conducted.</t>
  </si>
  <si>
    <t>In a recent analysis, Gartner predicted that the market for LC application development will increase at a compound annual growth rate (CAGR) of 23% between 2021 and 2026, reaching a market size of $45.5 billion by that year [ 18].</t>
  </si>
  <si>
    <t>Using LowCode and NoCode Tools in DevOps: A Multivocal Literature Review Muhammad Waqas, Zohaib Ali, Mary Sánchez-Gordón, and Monica Kristiansen Abstract DevOps and Low-code/No-code tools are two trends that are gaining interest in both academic and industry environments.</t>
  </si>
  <si>
    <t>Furthermore, a recent report conducted by Puppet points out that organizations that use DevOps practices experience a 63% decrease in the time needed to deploy new software [ 4]. | Moreover, the International Data Corporation (IDC) survey found that organizations using DevOps practices experience a 17% improvement in team collaboration, which results in better alignment, quicker problem resolution, and better decision-making [ 5]. | In a recent analysis, Gartner predicted that the market for LC application development will increase at a compound annual growth rate (CAGR) of 23% between 2021 and 2026, reaching a market size of $45.5 billion by that year [ 18]. | Using LowCode and NoCode Tools in DevOps: A Multivocal Literature … 73 of users of LC development tools will increase from 60% in 2021 to at least 80% by 2026 among developers outside of recognized IT departments.</t>
  </si>
  <si>
    <t>The results reveal the utilization of a range of tools across multiple aspects of DevOps, including application delivery, workflow automation, process management, continuous integration, deployment, monitoring and logging. | Moreover, the International Data Corporation (IDC) survey found that organizations using DevOps practices experience a 17% improvement in team collaboration, which results in better alignment, quicker problem resolution, and better decision-making [ 5]. | Furthermore, compared to developers who only use high code, a survey by Appian [20] in 2020 revealed that LC developers are, on average, happy with their careers and the kinds of projects they get to work on.</t>
  </si>
  <si>
    <t>Despite their potential benefits, concerns and limitations such as script standardization, security risks, limited customization, vendor lock-in, and scalability issues persist. | This review, alongside identified concerns, emphasizes the increasing adoption and benefits of Low-code/ No-code tools in DevOps.</t>
  </si>
  <si>
    <t>It examined the available tools, their applications, and the associated concerns or limitations. | Despite their potential benefits, concerns and limitations such as script standardization, security risks, limited customization, vendor lock-in, and scalability issues persist.</t>
  </si>
  <si>
    <t>Despite their potential benefits, concerns and limitations such as script standardization, security risks, limited customization, vendor lock-in, and scalability issues persist.</t>
  </si>
  <si>
    <t>Despite their potential benefits, concerns and limitations such as script standardization, security risks, limited customization, vendor lock-in, and scalability issues persist. | The study highlights three advantages: accelerated application development, consistency maintenance, and bridging the skills gap.</t>
  </si>
  <si>
    <t>In [PS1], Nguyen discusses the rising popularity of LC and NC development platforms, which utilize visual or drag-and-drop user interfaces to facilitate faster application development.</t>
  </si>
  <si>
    <t>Integrating DevOps with LC or NC approaches accelerates software deployment and helps meet continuous integration, deployment, and testing requirements.</t>
  </si>
  <si>
    <t>The model combines socio-technical systems theory and the Technology-Environment-Organization (TOE) model, emphasizing business-driven processes for non-professional developers.</t>
  </si>
  <si>
    <t>Citizen developers are people who develop or modify software applications for either personal or business purposes, without any formal education or training in software development [ 28]. [PS29] emphasizes the importance of integrating security throughout the application lifecycle and adopting DevSecOps to mitigate vulnerabilities in modern applications.</t>
  </si>
  <si>
    <t>In this context, Low-code and No-code (LC and NC) tools offer promising solutions for quick and cost-effective application development and deployment [15].</t>
  </si>
  <si>
    <t>However, managing DevOps systems can be challenging without experienced engineers [14].</t>
  </si>
  <si>
    <t>Platforms like OutSystems and Mendix enable centralized collaboration and automate build and deployment processes [ 14, 16, 17].</t>
  </si>
  <si>
    <t>Recently, AI-driven natural language processing tools like ChatGPT have emerged as a technology that impacts software development.</t>
  </si>
  <si>
    <t>PDF text extracted from 17 pages; sample evidence page: p. 6.</t>
  </si>
  <si>
    <t>. To do so, a Multivocal Literature Review (MVLR) was conducted to include academic and grey literature. The results reveal the utilization of a range of tools across multiple aspects of DevOps, including application delivery, workflow automation, process management, continuous integration, deployment, monitoring and logging. Despite their potential benefits, concerns and limitations such as script standardization, security risks, limited customization, vendor lock-in, and scalability issues persist. This review, alongside identified concerns, emphasizes the increasing adoption and benefits of Low-code/ No-code tools in DevOps. Keywords Low-code · No-code · DevOps tools · Multivocal literature review M. Waqas · Z. Ali · M. Sánchez-Gordón (B) · M. Kristiansen Department of Computer Science and Communication, Østfold University College, 1757 Halden, Norway e-mail: mary.sanchez-gordon@hiof.no M. Waqas e-mail: muhammad.waqas@hiof.no Z. Ali e-mail: zohaib.ali@hiof.no M. Kristiansen e-mail: monica.kristiansen@hiof.no © The Author(s), under exclusive license to Springer Nature Switzerland AG 2024 J. Mejía et al. (eds.), New Perspectives in Software Engineering, Studies in Computational Intelligence 1135, https://doi.org/10.1007/978-3-031-50590-4_5 71 72 M. Waqas et al. 1 Introduction DevOps integrates cultural values, practices, and technologies to improve an organization’s capacit...</t>
  </si>
  <si>
    <t>are presented in Sect. 5. 2 Related Work As mentioned before, LC and NC tools are gaining significant attention in the DevOps market due to their ability to improve the software development process. This section summarizes some of the relevant studies that have advanced our knowledge of the LC and NC landscape with respect to DevOps. The growing body of literature on LC and NC has explored the various kinds of tools that are available and how they impact the software development process. One study conducted by Rafi et al. [ 14] suggests that combining DevOps with LC methodologies benefits software organizations by streamlining development and addressing talent shortages. The study highlights three advantages: accelerated application development, consistency maintenance, and bridging the skills gap. These authors highlighted that such an approach can lead to quality products being developed quickly and cost-effectively. Bock and Frank [ 21] analyzed the trend of LC platforms (LCPs) a...</t>
  </si>
  <si>
    <t>PRODUCTIVITY_SPEED</t>
  </si>
  <si>
    <t>in DevOps: A Multivocal Literature; Muhammad Waqas, Zohaib Ali, Mary Sánchez-Gordón,; and Monica Kristiansen (2010). Using LowCode and NoCode Tools in DevOps: A Multivocal Literature Review. © The Author(s), under exclusive license to Springer Nature Switzerland AG 2024.</t>
  </si>
  <si>
    <t>https://doi.org/10.1007/978-3-031-50590-4_5</t>
  </si>
  <si>
    <t>P026</t>
  </si>
  <si>
    <t>26.Whats Wrong With Low-Code Development.pdf</t>
  </si>
  <si>
    <t>research paper\26.Whats Wrong With Low-Code Development.pdf</t>
  </si>
  <si>
    <t>10.1109/TR.2023.3295009</t>
  </si>
  <si>
    <t>What&amp;#x0027;s Wrong With Low-Code Development Platforms? An Empirical Study of Low-Code Development Platform Bugs</t>
  </si>
  <si>
    <t>Development Platform Bugs; Dong Liu, He Jiang , Member , IEEE, Shikai Guo , Y uting Chen, and Lei Qiao</t>
  </si>
  <si>
    <t>2000</t>
  </si>
  <si>
    <t>IEEE TRANSACTIONS ON RELIABILITY , VOL. 73, NO. 1, MARCH 2024 695; Dong Liu, He Jiang , Member , IEEE, Shikai Guo , Y uting Chen, and Lei Qiao; 1558-1721 © 2023 IEEE. Personal use is permitted, but republication/redistribution requires IEEE permission.</t>
  </si>
  <si>
    <t>Bug characteristics, empirical study, low code, nocode, software development. I. I NTRODUCTION T HE recent years have witnessed the significant growth of low-code development platforms (LCDPs) in the market Manuscript received 2 August 2022; revised 5 December 2022 and 17 February 2023; accepted 31 March 2023. Date of publication 2 August 2023; dat</t>
  </si>
  <si>
    <t>Low-code development platforms (LCDPs) are increasingly being introduced and leveraged by major IT enterprises to lower the threshold and promote the efficiency of software development. Like other software systems, LCDPs are also inevitable to have bugs. The bugs in LCDPs may cause unpredictable consequences as they pose risks to all the downstream software products. However, to the best of our knowledge, there exist no studies that ever consider the bugs caused by LCDPs. To handle the LCDP bugs better, in this article, we conduct an empirical study of the characteristics of LCDP bugs by examining 974 confirmed bugs of four dominant LCDPs (i.e., OutSystems, Mendix, Appsmith, and Budibase) from both commercial and open-source domains. These bugs are analyzed from three perspectives, including bug root causes, bug symptoms, and the affected stages of LCDPs. Based on the analysis, we obtain a series of valuable findings. For example, around 60% of the bugs reside in the stage of designing and specifying the developed applications. Over 37% of the bugs lead LCDPs to behave unexpectedly but without showing explicit signs. Moreover, the bugs relevant to the incorrect graphics of user interfaces are significant due to the characteristics of LCDPs. These findings point out the guidelines, challenges, and future directions to address LCDP bugs.</t>
  </si>
  <si>
    <t>Quality assurance and testing; Education and training; Scalability</t>
  </si>
  <si>
    <t>To handle the LCDP bugs better, in this article, we conduct an empirical study of the characteristics of LCDP bugs by examining 974 confirmed bugs of four dominant LCDPs (i.e., OutSystems, Mendix, Appsmith, and Budibase) from both commercial and open-source domains. | Based on the analysis, we obtain a series of valuable findings. | These findings point out the guidelines, challenges, and future directions to address LCDP bugs.</t>
  </si>
  <si>
    <t>1, MARCH 2024 695 What’s Wrong With Low-Code Development Platforms?</t>
  </si>
  <si>
    <t>For stages of LCDPs, we use the general framework introduced in Section II as the initial taxonomy and map each component of each of the four LCDPs into the general framework according to their functions by referring the official documents.</t>
  </si>
  <si>
    <t>scientific; localization</t>
  </si>
  <si>
    <t>To reduce personal biases, we employ three postgraduate students majoring in software engineering to label each bug independently.</t>
  </si>
  <si>
    <t>Power Apps; Mendix; OutSystems; AppSheet</t>
  </si>
  <si>
    <t>Section III describes the methodology of our study, presents the identified categories of the LCDP bugs, and outlines the research questions. | In Section IV, the study results are depicted and the research questions are answered. | Research Questions In this study, we aim to investigate the following research questions to characterize the bugs of LCDPs.</t>
  </si>
  <si>
    <t>Available: https://github.com/baidu/amis, https://n8n.io/ Authorized licensed use limited to: MANIPAL INSTITUTE OF TECHNOLOGY.</t>
  </si>
  <si>
    <t>First, the selected LCDPs should be well-known and widely applied; second, these LCDPs should be fully featured, i.e., they aim to build full-stack applications and offer lifecycle supports for the applications including the parts depicted in Section II; third, the available information of bugs of these LCDPs should be ample and suitable for analysis.</t>
  </si>
  <si>
    <t>According to the research of Gartner, the worldwide low-code development market increased by 22.6% from 2020 to 2021.</t>
  </si>
  <si>
    <t>According to a survey by Forrester, LCDPs can accelerate the development of applications by five to ten times comparing to the traditional ways [6].</t>
  </si>
  <si>
    <t>For example, around 60% of the bugs reside in the stage of designing and specifying the developed applications. | Over 37% of the bugs lead LCDPs to behave unexpectedly but without showing explicit signs. | According to the research of Gartner, the worldwide low-code development market increased by 22.6% from 2020 to 2021. | Meanwhile, nearly 70% of the applications in enterprises will be developed through low-code technologies [3].</t>
  </si>
  <si>
    <t>Based on the analysis, we obtain a series of valuable findings.</t>
  </si>
  <si>
    <t>The potential threats to validity and related studies are shown in Sections VI and VII, respectively.</t>
  </si>
  <si>
    <t>According to a survey by Forrester, LCDPs can accelerate the development of applications by five to ten times comparing to the traditional ways [6]. | Despite the benefits, LCDPs are a type of software by nature and susceptible to software bugs like any other software [7], [8].</t>
  </si>
  <si>
    <t>The bugs in LCDPs may cause unpredictable consequences as they pose risks to all the downstream software products. | However, to the best of our knowledge, there exist no studies that ever consider the bugs caused by LCDPs.</t>
  </si>
  <si>
    <t>Some records in the release notes of OutSystems and Mendix are not relevant to bugs, i.e., about feature or security improvement, or present duplicate bugs, which can be identified by the IDs.</t>
  </si>
  <si>
    <t>Lei Qiao is with the Beijing Institute of Control Engineering, Beijing 100190, China (e-mail: fly2moon@163.com).</t>
  </si>
  <si>
    <t>To ensure the scalability of LCDPs for large-scale models, Philippe et al. [41] propose a mechanism for mixing multiple model management strategies. | The answer to this RQ could help the communities better acknowledge which parts of LCDPs require further effort for test and maintenance.</t>
  </si>
  <si>
    <t>A proportion of LCDPs offer testing tools and techniques; some studies have introduced the concept of “low-code testing” [9].</t>
  </si>
  <si>
    <t>He Jiang is with the School of Software, Dalian University of Technology, Dalian 116024, China, and also with the Key Laboratory for Artificial Intelligence of Dalian, Dalian University of Technology, Dalian 116024, China (e-mail: jianghe@dlut.edu.cn).</t>
  </si>
  <si>
    <t>6) Performance degradation: Performance degradation denotes the LCDP runs correctly but the time or memory cost is unexpectedly large.</t>
  </si>
  <si>
    <t>However, to the best of our knowledge, there exist no studies that ever consider the bugs caused by LCDPs.</t>
  </si>
  <si>
    <t>Comparison of LCDPs In this study, we investigate four LCDPs.</t>
  </si>
  <si>
    <t>and related studies are shown in Sections VI and VII, respectively. Finally, SectionVIII concludes this article. II. L OW-CODE DEVELOPMENT PLA TFORMS(LCDPS) LCDPs are usually deployed on the cloud and provide cloud services through Platform-as-a-Service [1], [2], [9].T h e ya i m to enable developers with various domain knowledge to develop ready-for-production applications in an agile way. Different from conventional development platforms or integrated development environments, LCDPs have their own characteristics. First, hand coding is substituted by graphic interactions during development. LCDPs usually offer different graphical widgets to implement different components of an application. Second, LCDPs may provide lifecycle supports for the developed applications, e.g., tools for testing, deployment, and version control. These functionalities can also be leveraged in a low-code way. The existing LCDPs may be distinguished based on their supported application domains. For example, amis only supports the development of the front ends and n8n.io 1 focuses on the building of workflows. To</t>
  </si>
  <si>
    <t>are desirable. D. Comparison of LCDPs In this study, we investigate four LCDPs. They are from communities with different backgrounds and developed based on different techniques and motivations. Nonetheless, they have basic architectures in common (see Section II) and the characteristics of the bugs of these LCDPs show similar features. Although some differences are presented, they are mainly caused by the scales and the preferences of the LCDPs. Specifically, the two commercial LCDPs, i.e., OutSystems and Mendix, implement more sophisticated functionalities than the two open-source ones, i.e., Appsmith and Budibase. Appsmith focuses more on the development of UIs meanwhile Budibase provides more supports to construct data sources. No essential differences in bug characteristics are derived among LCDPs. The results are likely to be generalized to other LCDPs. VI. T HREA TS TOVALIDITY A. Internal Threat The internal threats to validity reside in the trustworthiness of the collected da...</t>
  </si>
  <si>
    <t>Section V discusses the implications of the results.</t>
  </si>
  <si>
    <t>Development Platform Bugs; Dong Liu, He Jiang , Member , IEEE, Shikai Guo , Y uting Chen, and Lei Qiao (2000). What&amp;#x0027;s Wrong With Low-Code Development Platforms? An Empirical Study of Low-Code Development Platform Bugs. IEEE TRANSACTIONS ON RELIABILITY , VOL. 73, NO. 1, MARCH 2024 695; Dong Liu, He Jiang , Member , IEEE, Shikai Guo , Y uting Chen, and Lei Qiao; 1558-1721 © 2023 IEEE. Personal use is permitted, but republication/redistribution requires IEEE permission..</t>
  </si>
  <si>
    <t>https://doi.org/10.1109/TR.2023.3295009</t>
  </si>
  <si>
    <t>P027</t>
  </si>
  <si>
    <t>27.Combining low-code development with ChatGPT to novel no-code.pdf</t>
  </si>
  <si>
    <t>research paper\27.Combining low-code development with ChatGPT to novel no-code.pdf</t>
  </si>
  <si>
    <t>10.1016/j.iswa.2023.200289</t>
  </si>
  <si>
    <t>Combining low-code development with ChatGPT to novel no-code approaches: A focus-group study</t>
  </si>
  <si>
    <t>Jos ´e Martins; , Frederico Branco; , Henrique Mamede; Instituto Polit ´ecnico de Bragança, Campus de Santa Apol ´onia, 5300-253 Bragança, Portugal</t>
  </si>
  <si>
    <t>2667-3053/© 2023 The Author(s). Published by Elsevier Ltd. This is an open access article under the CC BY license ( http://creativecommons.org/licenses/by/4.0/).; journal homepag e: www.jou rnals.elsevie r.com/intel ligent-system s-with-app lications</t>
  </si>
  <si>
    <t>Low-code No-code Artificial intelligence Software models ChatGPT LLM</t>
  </si>
  <si>
    <t>Low-code tools are a trend in software development for business solutions due to their agility and ease of use. There are a certain number of vendors with such solutions. Still, in most Western countries, there is a clear need for the existence of greater quantities of certified and experienced professionals to work with those tools. This means that companies with more resources can attract and maintain those professionals, whilst other smaller organizations must rely on an endless search for this scarce resource. We will present and validate a model designed to transform ChatGPT into a low-code developer, addressing the demand for a more skilled human resource solution. This innovative tool underwent rigorous validation via a focus group study, engaging a panel of highly experienced experts. Their invaluable insights and feedback on the proposed model were systematically gathered and meticulously analysed.</t>
  </si>
  <si>
    <t>Platform comparison; Education and training; Usability and user experience</t>
  </si>
  <si>
    <t>1 , the six steps established in DSR will be followed by the research team that will ensure the execution of the following activities: • Step 1 - The problem is identified, and the research background will set the stage for the justification of the research question; • Step 2 - The objectives and requirements for a solution are defined, knowing that aim at proposing a novel model for successfully using ChatGPT alongside LCSD platforms and doing so with as little human intervention as possible...</t>
  </si>
  <si>
    <t>Introduction A new paradigm called Low-code Systems Development (LCSD) is shifting software applications development into something with far less manual coding by using visual programming approaches aided by graphical user interfaces and model-driven designs, typically supported by technological platforms ( Al Alamin et al., 2021 ).</t>
  </si>
  <si>
    <t>No-code development - The new future Even though low-code and no-code platforms can help businesses build and modernize more apps, we are still coding microservices, designing customer-facing applications, and developing machine- learning capabilities ( Johnsson &amp; Magnusson, 2020 ).</t>
  </si>
  <si>
    <t>Focus Group</t>
  </si>
  <si>
    <t>healthcare; education; scientific</t>
  </si>
  <si>
    <t>The GUI and the pre-built components can easily be combined into complete solutions by requiring users to provide input in data fields, user interface elements, and business logic ( Chen et al., 2022 ).</t>
  </si>
  <si>
    <t>1 , the six steps established in DSR will be followed by the research team that will ensure the execution of the following activities: • Step 1 - The problem is identified, and the research background will set the stage for the justification of the research question; • Step 2 - The objectives and requirements for a solution are defined, knowing that aim at proposing a novel model for successfully using ChatGPT alongside LCSD platforms and doin...</t>
  </si>
  <si>
    <t>They discovered that ChatGPT performs similarly to Codex and specialized DL-based APR on a standard benchmark.</t>
  </si>
  <si>
    <t>As argued by Morgan (1996) , qualitative assessment criteria were established to target the conversation and provide arguments and ac - knowledgements that could be compared between iterations ( Table 1 ).</t>
  </si>
  <si>
    <t>Combining low-code development with ChatGPT to novel no-code approaches: A focus-group study Jos ´e Martins a , b , Frederico Branco a , c , Henrique Mamede a , d , * a INESC TEC - Institute for Systems and Computer Engineering, Technology and Science, 4200-465 Porto, Portugal b Instituto Polit ´ecnico de Bragança, Campus de Santa Apol ´onia, 5300-253 Bragança, Portugal c Department of Engineering, School of Sciences and Technology, Universidade de Tr ´as-os-Montes e Alto Douro, 5000-801 Vila...</t>
  </si>
  <si>
    <t>All attributes were measured using a scale from 0 to 100 %, where 0 % represented “ completely disagree ” and 100 % represented “ totally agree ” . | Most attributes obtained a 100 % evaluation, thus indicating that all focus group participants confirmed its descrip - tion. | Future directions Table 6 Model improvements discussed. | Attribute Evaluation Main contributions and perspectives Clarity 100 % Although it requires a previous understanding of ChatGPT and what you can do with it, it is easy to understand the proposed model.</t>
  </si>
  <si>
    <t>Methodological approach From a conceptual perspective, this research draws on a preliminary identification of a potential problem for those involved in the software applications development activity, on the recognition of the current relevancy of that same issue, and on the need to not only propose a solution to it but also to assess its adequacy and validity.</t>
  </si>
  <si>
    <t>1 , the six steps established in DSR will be followed by the research team that will ensure the execution of the following activities: • Step 1 - The problem is identified, and the research background will set the stage for the justification of the research question; • Step 2 - The objectives and requirements for a solution are defined, knowing that aim at proposing a novel model for successfully using ChatGPT alongside LCSD platforms and doing so with as little human intervention as possible... | Specifically, the synergy and dynamism generated within homogeneous collectives often reveal norms and normative assumptions. | In the first stage, data modelling, the developer will look at the re - quirements already collected by the business analyst or identified in a meeting with the final users and confirmed by them.</t>
  </si>
  <si>
    <t>With such platforms, developers are writing less code and concentrating on the goal of the system being developed Nevertheless, and as argued by existing literature, the use of LCSD platforms can also provide unpleasant experiences that, from the de - velopers ’ perspectives, might negatively impact the potential benefits it would arise. | The core idea is that by using LCSD, a software engineer can abstract and semi-automate every aspect of a software system development life-cycle while also accelerating the delivery of the numerous applicational modules that compose it ( Bucaioni et al., 2022 ; Sanchis et al., 2019 ; Sarkar, 2022 ).</t>
  </si>
  <si>
    <t>As established by authors such as Blanchard (2013) and Breaux and Moritz (2021) , the globally recognized shortage of qualified developers, a problem transversal to all technological fields, not only poses new challenges to the growing need for new software applications in an increasingly interconnected World but also tends to weaken signifi - cantly the negative perspectives that might arise towards LCSDs. | Methodological approach From a conceptual perspective, this research draws on a preliminary identification of a potential problem for those involved in the software applications development activity, on the recognition of the current relevancy of that same issue, and on the need to not only propose a solution to it but also to assess its adequacy and validity.</t>
  </si>
  <si>
    <t>Despite security issues, expect a vast (double- digit) increase in productivity.</t>
  </si>
  <si>
    <t>Management Support 100 % There is immense potential for governance support in the development process and later maintenance stages.</t>
  </si>
  <si>
    <t>Scalability Open, able to grow evenly and support further orientation Adaptability Potential to be applied to all types and sizes of solutions Prescriptive Provides insight into what needs to be addressed in each component or activity Flexibility It makes it possible to add guidelines for new types of development and pattern use Management Support Allows management of activities J. | Attribute Meaning Clarity Intelligible and transparently expressed Complexity Meaningful concepts Feasibility Potential to be implemented and used Maintainability Able to be maintained, improved and updated Completeness Covers the essential issues of developing low-code platforms Consistency A conceptual model that identifies the components and relationships Cohesion Components and activities work together to implement solutions on low-code platforms.</t>
  </si>
  <si>
    <t>The low-code development life cycle is intended to be faster and more efficient than traditional software development approaches, allowing enterprises to build and deploy systems with fewer resources and less time.</t>
  </si>
  <si>
    <t>Low-code platforms often include visual editors and drag-and-drop tools to aid development; 4) Testing: The application is tested for bugs, problems, and usability concerns.</t>
  </si>
  <si>
    <t>Other authors also highlight aspects such as the lack of size and tech - nological competence needed for solutions that require advanced coding skills, that can be overcomed by using AI ( Sundberg &amp; Holmstr ¨om, 2023 ).</t>
  </si>
  <si>
    <t>In this scenario, six participants were chosen to represent the per - spectives inherent to developing software solutions with low-code platforms: higher education professors, researchers, end-users, de - velopers, and platform developers (see Table 4 ).</t>
  </si>
  <si>
    <t>Combining low-code development with ChatGPT to novel no-code approaches: A focus-group study Jos ´e Martins a , b , Frederico Branco a , c , Henrique Mamede a , d , * a INESC TEC - Institute for Systems and Computer Engineering, Technology and Science, 4200-465 Porto, Portugal b Instituto Polit ´ecnico de Bragança, Campus de Santa Apol ´onia, 5300-253 Bragança, Portugal c Department of Engineering, School of Sciences and Technology, Universidade de Tr ´as-os-Montes e Alto Douro, 5000-801 Vila Real, Portugal d CEG-UAb, Universidade Aberta, Ru...</t>
  </si>
  <si>
    <t>As pointed by Bidochko (2023) , other benefits must be noted like increased efficiency and productivity, enhanced customer experience, cost savings and increased innovation.</t>
  </si>
  <si>
    <t>Furthermore, LCSD not only offers a platform for developing solu - tions that are typically easier to understand but also provides for the reuse of components from other solutions and the extension of the pre- built components functionality by allowing its customization ( Bock &amp; Frank, 2021 ).</t>
  </si>
  <si>
    <t>Combining low-code development with ChatGPT to novel no-code approaches: A focus-group study Jos ´e Martins a , b , Frederico Branco a , c , Henrique Mamede a , d , * a INESC TEC - Institute for Systems and Computer Engineering, Technology and Science, 4200-465 Porto, Portugal b Instituto Polit ´ecnico de Bragança, Campus de Santa Apol ´onia, 5300-253 Bragança, Portugal c Department of Engineering, School of Sciences and Technology, Universidade de Tr ´as-os-Montes e Alto Douro, 5000-801 Vila Real, Portugal d CEG-UAb, Universidade Aberta, Rua da Escola Polit ´ecnica, 147, 1269-001 Lisboa, Portugal ARTICLE INFO Keywords: Low-code No-code Artificial intelligence Software models ChatGPT LLM ABSTRACT Low-code tools are a trend in software development for business solutions due to their agility and ease of use.</t>
  </si>
  <si>
    <t>They were asked to compare the outcomes of using the item in an organization against the results of not utilizing it or some other comparable tool or approach.</t>
  </si>
  <si>
    <t>PDF text extracted from 12 pages; sample evidence page: Not reported.</t>
  </si>
  <si>
    <t>or constraints in integrating AI technologies like ChatGPT into your software development process? G7 General Describe how integrating conversational agents into low- code platforms can impact the dynamics of software development teams. G8 General What features would you like to see implemented with a chat agent integrated into a low-code platform? G9 General What training is needed for software development teams to use chat agents like ChatGPT on low-code platforms? S1 Specific To what extent can ChatGPT help specify the data model in software projects based on a low-code platform? S2 Specific How can ChatGPT help design user interfaces in software projects based on a low-code platform? S3 Specific When implementing business logic in low-code projects, how can ChatGPT be a differentiating agent? S4 Specific What are the benefits and constraints of using ChatGPT as functionality to support integrating external services in low-code platforms? S5 Specific How can ChatGPT be a differentiating element in the low- code application testing and deployment phase? G10 General We would like to have everyone’s last comment as a closing statement. Table 3 Test session specialists’ profile description. Participant Area of activity Experience P_A Teacher/ Researcher Assistant professor with twenty years of teaching and scientific research in the field of Computer Science and Engineering....</t>
  </si>
  <si>
    <t>After a careful analysis to the performed research we were able to identify the existence of some limitations that despite worthy of description, do not impail the overall value of the research nor of the achieved results. Even thou the focus group approach is well established within the existing literature, there is also a relevant amount of research on the potential issues or limitations regarding this type of approach. Hence, with this in mind, we do believe that the decision to execute a focus group could have limited the density of the achieved results. In order to address this potential impairment, we propose that future research would encompasses the execution of a case study where developers and software engineers could combine ChatGPT with LCSD plataforms at the same time that their entire experience is closely monitored and controlled. Furthermore, and considering the feedback from the focus group experts (highlighted in Tables 4 and 5 , and detailed in Section 5 ), we bel...</t>
  </si>
  <si>
    <t>Complexity 100 % The complexity of the proposed model creates the necessity for a more practical guideline for operationalizing it.</t>
  </si>
  <si>
    <t>Jos ´e Martins; , Frederico Branco; , Henrique Mamede; Instituto Polit ´ecnico de Bragança, Campus de Santa Apol ´onia, 5300-253 Bragança, Portugal (2010). Combining low-code development with ChatGPT to novel no-code approaches: A focus-group study. 2667-3053/© 2023 The Author(s). Published by Elsevier Ltd. This is an open access article under the CC BY license ( http://creativecommons.org/licenses/by/4.0/).; journal homepag e: www.jou rnals.elsevie r.com/intel ligent-system s-with-app lications.</t>
  </si>
  <si>
    <t>https://doi.org/10.1016/j.iswa.2023.200289</t>
  </si>
  <si>
    <t>P028</t>
  </si>
  <si>
    <t>28.Algorithms in Low-Code-No-Code for Research Applications.pdf</t>
  </si>
  <si>
    <t>research paper\28.Algorithms in Low-Code-No-Code for Research Applications.pdf</t>
  </si>
  <si>
    <t>10.3390/a16020108</t>
  </si>
  <si>
    <t>Algorithms in Low-Code-No-Code for Research Applications: A Practical Review</t>
  </si>
  <si>
    <t>Applications: A Practical Review.; Academic Editors: Arun; Kumar Sangaiah and Xingjuan Cai; Received: 14 November 2022</t>
  </si>
  <si>
    <t>Licensee MDPI, Basel, Switzerland.; Algorithms 2023, 16, 108. https://doi.org/10.3390/a16020108 https://www.mdpi.com/journal/algorithms</t>
  </si>
  <si>
    <t>low-code-no-code; evolution of algorithm; low code application development; low code development platform; low code application platform; low code in research; cyber-attack monitor; cyber intelligence dashboard 1.</t>
  </si>
  <si>
    <t>Algorithms have evolved from machine code to low-code-no-code (LCNC) in the past 20 years. Observing the growth of LCNC-based algorithm development, the CEO of GitHub mentioned that the future of coding is no coding at all. This paper systematically reviewed several of the recent studies using mainstream LCNC platforms to understand the area of research, the LCNC platforms used within these studies, and the features of LCNC used for solving individual research questions. We identified 23 research works using LCNC platforms, such as SetXRM, the vf-OS platform, Aure-BPM, CRISP-DM, and Microsoft Power Platform (MPP). About 61% of these existing studies resorted to MPP as their primary choice. The critical research problems solved by these research works were within the area of global news analysis, social media analysis, landslides, tornadoes, COVID-19, digitization of process, manufacturing, logistics, and software/app development. The main reasons identified for solving research problems with LCNC algorithms were as follows: (1) obtaining research data from multiple sources in complete automation; (2) generating artificial intelligence-driven insights without having to manually code them. In the course of describing this review, this paper also demonstrates a practical approach to implement a cyber-attack monitoring algorithm with the most popular LCNC platform.</t>
  </si>
  <si>
    <t>Citizen development; Enterprise adoption; Security and privacy</t>
  </si>
  <si>
    <t>In the course of describing this review, this paper also demonstrates a practical approach to implement a cyber-attack monitoring algorithm with the most popular LCNC platform. | Hence, anyone without high-level coding knowledge can quickly deploy their scientific solutions and report them, as demonstrated in References [14-31]. | Section 6 provides a demonstration on using LCNC platform to solve a research problem and answers research question 6.</t>
  </si>
  <si>
    <t>Keywords: low-code-no-code; evolution of algorithm; low code application development; low code development platform; low code application platform; low code in research; cyber-attack monitor; cyber intelligence dashboard 1.</t>
  </si>
  <si>
    <t>low-code; no-code; LCNC; visual programming</t>
  </si>
  <si>
    <t>Hence, the developers do not need to install multiple development tools and libraries (e.g., Visual Studio, Net Frameworks).</t>
  </si>
  <si>
    <t>manufacturing; logistics; scientific</t>
  </si>
  <si>
    <t>Apart from terminologies, such as LCNC, LCDP and LCAP , there are several other popular notions, such as “citizen developer”, “robotic process automation (RPA)”, “IT-business alignment”, and “business process management (BPM)” interchangeably being used to represent the concept of low-code-no-code development in recent times [11].</t>
  </si>
  <si>
    <t>Mendix; OutSystems; AppSheet</t>
  </si>
  <si>
    <t>This paper systematically reviewed several of the recent studies using mainstream LCNC platforms to understand the area of research, the LCNC platforms used within these studies, and the features of LCNC used for solving individual research questions. | In this review, existing scientific studies implementing algorithms using LCNC are critically reviewed to answer the following research questions:  RQ1: What are the benefits of using LCNC platforms in general?  RQ2: What are the limitations of using LCNC platforms in general?  RQ3: Which features of modern LCNC platforms were used in existing studies?  RQ4: Which LCNC platforms were mainly used in solving research problems?  RQ5: What re... | In this review, existing scientific studies implementing algorithms using LCNC are critically reviewed to answer the following research questions: • RQ1: What are the benefits of using LCNC platforms in general? • RQ2: What are the limitations of using LCNC platforms in general? • RQ3: Which features of modern LCNC platforms were used in existing studies? • RQ4: Which LCNC platforms were mainly used in solving research problems? • RQ5: What re...</t>
  </si>
  <si>
    <t>Observing the growth of LCNC-based algorithm development, the CEO of GitHub mentioned that the future of coding is no coding at all.</t>
  </si>
  <si>
    <t>Then, 133 articles were intensively reviewed and articles not contributing towards the 6 research questions (i.e., benefits of LCNC, limitations of LCNC, features of LCNC in research, LCNC platforms used in research, research area solved with LCNC, and demonstration of LCNC adoption in research) were filtered out.</t>
  </si>
  <si>
    <t>Section 2 (i.e., Research Methods) provides details on the systematic literature review, covering the exclusion and inclusion criteria.</t>
  </si>
  <si>
    <t>The COVID- 19 pandemic accelerated the adoption of LCNC platforms as businesses sought to quickly pivot and adapt to the changing business environment between 2019 and 2020 [ 12].</t>
  </si>
  <si>
    <t>This includes the integration of AI and machine learning, improved user experiences, and increased integration with other tools and platforms.</t>
  </si>
  <si>
    <t>About 61% of these existing studies resorted to MPP as their primary choice. | In quarter two of 2020, an LCNC platform, Appian, reported subscription revenue rising a little over 12% compared to the same quarter last year [ 12]. | In 2023, global LCNC technologies are predicted to grow 20% [13]. | In quarter two of 2020, an LCNC platform, Appian, reported subscription revenue rising a little over 12% compared to the same quarter last year [12].</t>
  </si>
  <si>
    <t>In 2001, Outsystems was born with the vision of faster delivery of digital transformation [ 4]. | The COVID- 19 pandemic accelerated the adoption of LCNC platforms as businesses sought to quickly pivot and adapt to the changing business environment between 2019 and 2020 [ 12].</t>
  </si>
  <si>
    <t>The critical research problems solved by these research works were within the area of global news analysis, social media analysis, landslides, tornadoes, COVID-19, digitization of process, manufacturing, logistics, and software/app development. | The main reasons identified for solving research problems with LCNC algorithms were as follows: (1) obtaining research data from multiple sources in complete automation; (2) generating artificial intelligence-driven insights without having to manually code them.</t>
  </si>
  <si>
    <t>Cloud-based technology inherently delivers flexibility, cost-effectiveness, security, mobility, disaster recovery, loss prevention, sustainability, and competitive edge, along with many other advantages compared to traditional on-premises solutions [ 34].</t>
  </si>
  <si>
    <t>Citizen developer-driven solutions using LCNC platforms could become a threat to centralized governance and control of IT solutions by the designated IT authority.</t>
  </si>
  <si>
    <t>Even though most of the existing LCNC platforms support dedicated capacity, if the developer wants to attain higher performance, it is often not very cost effective. | According to [36], citizen developers said that more of their app development effort was devoted to innovation (i.e., big ideas) instead of maintenance, outperforming those not using low code by 5%.</t>
  </si>
  <si>
    <t>In 2001, Outsystems was born with the vision of faster delivery of digital transformation [ 4].</t>
  </si>
  <si>
    <t>Using traditional programming languages and platforms (e.g., C# in Net), a professional developer can develop a wide variety of programs targeting desktops, mobile, and even embedded platforms.</t>
  </si>
  <si>
    <t>Since 2014, there has been a trend for minimizing lines of codes and reducing upfront investment in setup, training, and deployment for software development [5].</t>
  </si>
  <si>
    <t>The main reasons identified for solving research problems with LCNC algorithms were as follows: (1) obtaining research data from multiple sources in complete automation; (2) generating artificial intelligence-driven insights without having to manually code them.</t>
  </si>
  <si>
    <t>However, with poor communication and a lack of domain knowledge of IT specialists, the business visions are often not translated properly into IT deliverables.</t>
  </si>
  <si>
    <t>Algorithms 2023, 16, 108 2 of 23 Mendix [9] in 2018, and Google announced AppSheet [10], in 2020 as seen from Figure 1.</t>
  </si>
  <si>
    <t>PDF text extracted from 23 pages; sample evidence page: p. 3.</t>
  </si>
  <si>
    <t>of using LCNC platforms in general?  RQ3: Which features of modern LCNC platforms were used in existing studies?  RQ4: Which LCNC platforms were mainly used in solving research problems?  RQ5: What research problems or which area of research adopted LCNC platforms?  RQ6: How can a researcher adopt modern LCNC platforms in solving critical research questions? This study provides a comprehensive literature review on LCNC platforms. Moreover, this study guides researchers and scientists in adopting modern LCNC platforms for solving various research problems. Section 2 (i.e., Research Methods) provides details on the systematic literature review, covering the exclusion and inclusion criteria. Sections 3 Figure 1. Evolution of algorithms from machine code to low-code-no-code. Modern LCNC platforms realize several benefits over previous generations of manually writing lengthy lines of codes with low-level or high-level languages. These benefits include faster development with cloud-based environments, where anyone without coding experience can develop complex technology solutions by integrating technology components from multiple sources. These LCNC platforms provide simple cloud-based interfaces where a non-programmer scientist or researcher can drag-and-drop required algorithms to develop complex scientific solutions. Hence, anyone without high-level coding knowledge can qui...</t>
  </si>
  <si>
    <t>Algorithms in Low-Code-No-Code for Research Applications: A Practical Review.</t>
  </si>
  <si>
    <t>SECURITY_PRIVACY</t>
  </si>
  <si>
    <t>Applications: A Practical Review.; Academic Editors: Arun; Kumar Sangaiah and Xingjuan Cai; Received: 14 November 2022 (2023). Algorithms in Low-Code-No-Code for Research Applications: A Practical Review. Licensee MDPI, Basel, Switzerland.; Algorithms 2023, 16, 108. https://doi.org/10.3390/a16020108 https://www.mdpi.com/journal/algorithms.</t>
  </si>
  <si>
    <t>https://doi.org/10.3390/a16020108</t>
  </si>
  <si>
    <t>P029</t>
  </si>
  <si>
    <t>29.Exploring Low-Code Development.pdf</t>
  </si>
  <si>
    <t>research paper\29.Exploring Low-Code Development.pdf</t>
  </si>
  <si>
    <t>10.7250/csimq.2023-36.04</t>
  </si>
  <si>
    <t>Complex Systems Informatics and Modeling Quarterly (CSIMQ) eISSN: 2255-9922 Published online by RTU Press, https://csimq-journals.rtu.lv</t>
  </si>
  <si>
    <t>Published online by RTU Press, https://csimq-journals.rtu.lv; Article 200, Issue 36, September/October 2023, Pages 68-86; Exploring Low-Code Development:; A Comprehensive Literature Review</t>
  </si>
  <si>
    <t>Published online by RTU Press, https://csimq-journals.rtu.lv; The initial keyword search was carried out in scientific databases - IEEE Xplore Digital Library,; ACM Digital Library, ScienceDirect, and SpringerLink. The initial keyword -based search was</t>
  </si>
  <si>
    <t>Low-Code Development, Low -Code Platforms, Low -Code Benefits, Low-Code Principles, Software Development. 1</t>
  </si>
  <si>
    <t>. Low-code development provides the ability to create software using visual application development tools, predefined components, and automation, minimizing the reliance on manual coding. Furthermore, it enables individuals with limited programming expertise to actively contribute to software development in collaboration with information technology (IT) professionals, improving the alignment between customer or business requirements and the developed solution. This approach speeds up the development process, fosters closer collaboration between software development and business teams, and enhances the organization’s ability to respond to business and market demands or changes. In this article, existing knowledge of low-code development from multiple perspectives is summarized, including the definitions, used tools, applied development lifecycles, application areas, potential benefits, challenges, and, consequently, relevant development and delivery principles.</t>
  </si>
  <si>
    <t>Maintainability; Enterprise adoption; Integration</t>
  </si>
  <si>
    <t>Section 3 amalgamates the foundations and characteristics of low -code development including its definition ( Subsection 3.1), low -code development platforms ( Subsection 3.2), applied development lifecycles ( Subsection 3.3), applications areas (Subsection 3.4), low-code benefits (subsection 3.5), and challenges (subsection 3.6). | At the “Output” stage research findings are synthesized and these findings are articulated in the written literature review [3]. | The number of articles found i...</t>
  </si>
  <si>
    <t>Low-code development provides the ability to create software using visual application development tools, predefined components, and automation, minimizing the reliance on manual coding.</t>
  </si>
  <si>
    <t>low-code; visual programming</t>
  </si>
  <si>
    <t>In the literature, the use of various frameworks is described.</t>
  </si>
  <si>
    <t>healthcare; manufacturing; education; scientific; IoT; DevOps</t>
  </si>
  <si>
    <t>Furthermore, low-code development enables a wide r ange of users, including non-professional developers from business backgrounds, to participate in software development.</t>
  </si>
  <si>
    <t>The following research questions are addressed by the article: • RQ1: What is low-code software development? • RQ2: What are low-code development platforms? • RQ3: What development lifecycles are described in the literature related to low -code development? • RQ4: What are the application areas of low-code development? • RQ5: What are the benefits of low-code development? • RQ6: What are the challenges of low-code development? • RQ7: What are... | To fulfill the objective and to answer the research question, a comprehensive literature review on low-code development was conducted. | 2 Methodology A literature review serves as a valuable instrument for comprehending the existing knowledge within a particular domain, enabling the identification of gaps and direction s in which further research is needed and it has been selected as the method for answering the research questions of this article. [3].</t>
  </si>
  <si>
    <t>Additionally, other electron ic resources, such as Scopus, were utilized to access papers identified through the backward search method.</t>
  </si>
  <si>
    <t>Criteria Inclusion I1 The article is related to low-code software development Exclusion E1 The article is not published in English E2 The full text of the article is not available E3 The paper does not contain answers to any of the research questions In the initial keyword search, database search engines retrieved a total of 281 papers that were relevant to the topic of low -code development.</t>
  </si>
  <si>
    <t>2 Methodology A literature review serves as a valuable instrument for comprehending the existing knowledge within a particular domain, enabling the identification of gaps and direction s in which further research is needed and it has been selected as the method for answering the research questions of this article. [3].</t>
  </si>
  <si>
    <t>Criteria Inclusion I1 The article is related to low-code software development Exclusion E1 The article is not published in English E2 The full text of the article is not available E3 The paper does not contain answers to any of the research questions In the initial keyword search, database search engines retrieved a total of 281 papers that were... | Finally, a total of 39 articles were i dentified as relevant for the review from the keyword search step.</t>
  </si>
  <si>
    <t>Section 3 amalgamates the foundations and characteristics of low -code development including its definition ( Subsection 3.1), low -code development platforms ( Subsection 3.2), applied development lifecycles ( Subsection 3.3), applications areas (Subsection 3.4), low-code benefits (subsection 3.5), and challenges (subsection 3.6). | At the “Output” stage research findings are synthesized and these findings are articulated in the written literature review [3]. | The number of articles found in each library is displayed in Table 2 in column “Number of results”.</t>
  </si>
  <si>
    <t>In this article, existing knowledge of low-code development from multiple perspectives is summarized, including the definitions, used tools, applied development lifecycles, application areas, potential benefits, challenges, and, consequently, relevant development and delivery principles. | Keywords: Low-Code Development, Low -Code Platforms, Low -Code Benefits, Low-Code Principles, Software Development.</t>
  </si>
  <si>
    <t>In this article, existing knowledge of low-code development from multiple perspectives is summarized, including the definitions, used tools, applied development lifecycles, application areas, potential benefits, challenges, and, consequently, relevant development and delivery principles. | However, there are some software development and delivery peculiarities that distinguishes it from other approaches [2].</t>
  </si>
  <si>
    <t>Definition of the user interface - in this phase, the application’s forms, pages, and views are created and user roles and security mechanisms are configured.</t>
  </si>
  <si>
    <t>This approach reduces the risk of the rise of shadow IT (BE8), which is defined as unsanctioned IT solutions and systems that are used without the approval of the organization's IT department and therefore possess security, data governance, and other risks [6].</t>
  </si>
  <si>
    <t>Integration with external tools is also possible [10], [19], [22], [33] Repositories A feature that supports repository and version control tasks of developed artifacts [19] Analysis environment Analysis Features Dashboards, monitors, alarms, and other performance and measurement tools to gather statistics, identify code anti-patterns, analyze the performance, and monitor CPU, memory, and other components [1], [25], [34] Advanced Reporting A feature that enables application usage reporting in a tabular and graphical way [19] Extensibility Ea... | Maintenance - maintenance is provided once the application is released, and if functionality should be extended, additional features can be added, or a new iteration can be initiated.</t>
  </si>
  <si>
    <t>Identified low-code development benefits ID Benefit Sources BE1 Acceleration of the development cycle [1], [5], [6], [10], [11], [13], [14], [19], [26], [27], [29], [32], [35], [40]-[42] BE2 Involvement of citizen developers [1], [5], [6], [10]-[12], [14], [19], [26], [35], [38], [41]-[43] BE3 Decreased costs [1], [5], [6], [11], [14], [19], [27], [32], [35], [40], [44] BE4 Increased responsiveness to business and market demands [1], [5], [6], [10], [35], [36] BE5 Lowered maintenance effort [5], [6], [10], [19], [36], [45] BE6 Improved colla...</t>
  </si>
  <si>
    <t>75 Table 3 Continued Top-level features Features Description Artificial intelligence (AI) Internal artificial intelligence components A feature that enables internal components for the use of AI [24], [32] Integrability of external artificial intelligence services A feature that enables the use of specialized APIs for AI services [24] Testing and verification support Automated testing A feature for automated testing realization [12] Integration with testing platforms Mechanisms to integrate external testing platforms for UI, API, and End-to-...</t>
  </si>
  <si>
    <t>Other areas include healthcare, education, databases, request handling, recommender systems, manufacturing, industrial training, domain -specific language (DSL) engineering, social me dia, process, marketing, desktop, blockchain, automotive, AI and aeronautics [7].</t>
  </si>
  <si>
    <t>However, there are some software development and delivery peculiarities that distinguishes it from other approaches [2].</t>
  </si>
  <si>
    <t>For selecting the platform, the following suggestions are available in the literature: • Use feature lists to facilitate comparison and selection.</t>
  </si>
  <si>
    <t>Maintenance - maintenance is provided once the application is released, and if functionality should be extended, additional features can be added, or a new iteration can be initiated.</t>
  </si>
  <si>
    <t>PDF text extracted from 19 pages; sample evidence page: p. 3.</t>
  </si>
  <si>
    <t>of the thematic synthesis are related to subjective biases during data extraction and data coding, which can lead researchers to perceive patterns based on their expectations rather than the actual content of the text . Another concern is the risk of coding data at too general a level or out of context. Furthermore, the trustworthiness of the synthesis depends on the quality of the studies used [4]. To some extent, these biases were possible to overcome by involving researchers with different experience in lowcode development. 3 Foundation and Characteristics of Low-Code Development This section provides an answer to the research questions about the definition of low -code development, its lifecycle, as well as related characteristics and specifics. 3.1 Defining Low-Code Development (RQ1) According to [5]-[8] the term “low -code” originates back to 2014 when it was defined in a Forrester Research paper called “New Development Platforms Emerge For Customer -Facing Applications” by Richardson C. et al. Since then, multiple definitions have been delivered in the current research literature. In [9] by Waszkowski R., the term “low-code programming tec hnique” is used. The author describes it as a derivate of fourth -generation programming (4GL) in combination with Rapid 72 Application Development (RAD) principles . The low -code programming technique allows programmers and practi...</t>
  </si>
  <si>
    <t>Research method not explicitly identified</t>
  </si>
  <si>
    <t>Published online by RTU Press, https://csimq-journals.rtu.lv; Article 200, Issue 36, September/October 2023, Pages 68-86; Exploring Low-Code Development:; A Comprehensive Literature Review (2023). Complex Systems Informatics and Modeling Quarterly (CSIMQ) eISSN: 2255-9922 Published online by RTU Press, https://csimq-journals.rtu.lv. Published online by RTU Press, https://csimq-journals.rtu.lv; The initial keyword search was carried out in scientific databases - IEEE Xplore Digital Library,; ACM Digital Library, ScienceDirect, and SpringerLink. The initial keyword -based search was.</t>
  </si>
  <si>
    <t>https://doi.org/10.7250/csimq.2023-36.04</t>
  </si>
  <si>
    <t>P030</t>
  </si>
  <si>
    <t>30.Developer discussion topics on the adoption and barriers of low code software development platforms.pdf</t>
  </si>
  <si>
    <t>research paper\30.Developer discussion topics on the adoption and barriers of low code software development platforms.pdf</t>
  </si>
  <si>
    <t>Noname manuscript No. (will be inserted by the editor)</t>
  </si>
  <si>
    <t>Developer Discussion Topics on the Adoption and Barriers; of Low Code Software Development Platforms; Md Abdullah Al Alamin, Gias Uddin, Sanjay; Malakar, Sadia Afroz, Tameem Haider,</t>
  </si>
  <si>
    <t>arXiv:2209.00844v1 [cs.SE] 2 Sep 2022</t>
  </si>
  <si>
    <t>Low-Code Software Development, Empirical Study, Stack Overflow 1</t>
  </si>
  <si>
    <t>Low-code software development (LCSD) is an emerging approach to democratize application development for software practitioners from diverse backgrounds. LCSD platforms promote rapid application development with a dragand-drop interface and minimal programming by hand. As it is a relatively new paradigm, it is vital to study developers’ diﬃculties when adopting LCSD platforms. Software engineers frequently use the online developer forum Stack Overflow (SO) to seek assistance with technical issues. We observe a growing body of LCSDrelated posts in SO. This paper presents an empirical study of around 33K SO posts (questions + accepted answers) containing discussions of 38 popular LCSD platforms. We use Topic Modeling to determine the topics discussed in those posts. Additionally, we examine how these topics are spread across the various phases of the agile software development life cycle (SDLC) and which part of LCSD is the most popular and challenging. Our study oﬀers several interesting findings. First, we find 40 LCSD topics that we group into five categories: Application Customization, Database and File Management, Platform Adoption, Platform Maintenance, and Third-party API Integration. Second, while the Application Customization (30%) and Data Storage (25%) topic categories are the most common, inquiries relating to several other categories (e.g., the Platform Adoption topic category) have gained considerable attention in recent years. Third, all topic categories are evolving rapidly, especially during the Covid-19 pandemic. Fourth, the How-type questions are prevalen...</t>
  </si>
  <si>
    <t>Integration; Maintainability; Security and privacy</t>
  </si>
  <si>
    <t>Our study oﬀers several interesting findings. | The findings of this study have implications for all three LCSD stakeholders: LCSD platform vendors, LCSD developers/practitioners, Researchers, and Educators. | We elaborate on our findings from RQ1 by examining how the observed LCSD topics evolved in SO over time.</t>
  </si>
  <si>
    <t>Low-code development tools enable the development of productionready apps with less coding by facilitating automatic code generation.</t>
  </si>
  <si>
    <t>But, shortly thereafter, Google announced a “no-code” platform called “AppSheet” [46] and promoted their fully managed serverless platform called AppEngine [11] to create web application promoting low-code approach.</t>
  </si>
  <si>
    <t>low-code; no-code; end-user development; visual programming; model-driven engineering</t>
  </si>
  <si>
    <t>For instance, according to our significance and relevance analysis, tags such as “oracle-xe”, “ems”, “auraframework”, “power-automate” etc are frequently correlated with other LCSD platform tags, although they do not contain low-code-related discussions.</t>
  </si>
  <si>
    <t>healthcare; manufacturing; education; IoT; DevOps</t>
  </si>
  <si>
    <t>LCSD aims to address this issue by democratizing software development to domain experts and accelerating the development and deployment process.</t>
  </si>
  <si>
    <t>Mendix; OutSystems; AppSheet; App Inventor</t>
  </si>
  <si>
    <t>We answer five research questions by analyzing the dataset. | We elaborate on our findings from RQ1 by examining how the observed LCSD topics evolved in SO over time. | From RQ1, we find some of the unique challenges for LCSD practitioners regarding Customization, Data Storage on the completely managed cloud platforms.</t>
  </si>
  <si>
    <t>Topics of Developer Discussions of the LCSD Platforms 3 with a larger dataset of discussions about LCSD platforms in SO.</t>
  </si>
  <si>
    <t>We then discuss the details about our pre-processing and topic modeling steps on the selected posts (Section 3.2).</t>
  </si>
  <si>
    <t>Second, while the Application Customization (30%) and Data Storage (25%) topic categories are the most common, inquiries relating to several other categories (e.g., the Platform Adoption topic category) have gained considerable attention in recent years. | By 2024, over 65% of big companies will utilize LCSD systems to some extent, according to a Gartner report [130]. | We find a total of 40 LCSD topics grouped into five categories: Application Customization (30% Questions, 11 Topics), Data Storage (25% Questions, 9 Topics), Platform Adoption (20% Questions, 9 Topics), Platform Maintenance (14% Questions, 6 Topics), and Third-Party Integration (12% Questions, 5 Topics). | Around 34% of questions are particular to the many supported capabilities of LCSD platforms, while the remaining 66% are regarding development activities, namely application customization.</t>
  </si>
  <si>
    <t>LCSD is a novel paradigm for developing software applications with minimal hand-coding through visual programming, a graphical user interface, and model-driven design.</t>
  </si>
  <si>
    <t>During this phase, the operational factors are considered, and the feasibility, time-frame, potential complexity, and reliability.</t>
  </si>
  <si>
    <t>2 Alamin et al. and LCSD platform vendors can collaborate to improve diﬀerent aspects of LCSD, such as better tutorial-based documentation, testing, and DevOps support. | LCSD aims to address this issue by democratizing software development to domain experts and accelerating the development and deployment process.</t>
  </si>
  <si>
    <t>(will be inserted by the editor) Developer Discussion Topics on the Adoption and Barriers of Low Code Software Development Platforms Md Abdullah Al Alamin, Gias Uddin, Sanjay Malakar, Sadia Afroz, Tameem Haider, Anindya Iqbal Abstract Low-code software development (LCSD) is an emerging approach to democratize application development for software practitioners from diverse backgrounds. | Naturally, LCSD has some unique challenges [100].</t>
  </si>
  <si>
    <t>There is also concern about the security/scalability of LCSD applications [59].</t>
  </si>
  <si>
    <t>(2) Topic Fetch &amp; Process API Response (2.8%) contains discussions about making HTTP request to remote servers (e.g., “REST http post method - what does -d mean in a curl?” inQ65877037), analyzing and processing the response, handling web security issues (e.g., CORS policies in Q60270574). • Plugins Sub-Category contains 5.6% questions and three topics: (1) Topic Email Processing (2.4%) discusses about processing automating emailing in Q65626477, sending formatted HTML email (e.g, “Send HTML email using [platform]” in Q41546887), forwarding...</t>
  </si>
  <si>
    <t>There is also concern about the security/scalability of LCSD applications [59]. | First, we find 40 LCSD topics that we group into five categories: Application Customization, Database and File Management, Platform Adoption, Platform Maintenance, and Third-party API Integration.</t>
  </si>
  <si>
    <t>Additionally, LCSD platforms also provide more flexibility and agility, faster development time that allows responding quickly to market needs, less bug fixing, less deployment eﬀort, and easier maintenance [39, 100].</t>
  </si>
  <si>
    <t>2 Alamin et al. and LCSD platform vendors can collaborate to improve diﬀerent aspects of LCSD, such as better tutorial-based documentation, testing, and DevOps support.</t>
  </si>
  <si>
    <t>Another popular methodology is the agile development methodology [24] which is a collection of approaches and practices that promote the evolution of software development through collaboration among cross-functional teams.</t>
  </si>
  <si>
    <t>Some research has been conducted on the potential applications of this developing technology in various software applications [44] or for automating business process in manufacturing [128], healthcare [76, 131], Digital transformation [84], Industrial engineering education[2], IoT systems using LCSD [53].</t>
  </si>
  <si>
    <t>(will be inserted by the editor) Developer Discussion Topics on the Adoption and Barriers of Low Code Software Development Platforms Md Abdullah Al Alamin, Gias Uddin, Sanjay Malakar, Sadia Afroz, Tameem Haider, Anindya Iqbal Abstract Low-code software development (LCSD) is an emerging approach to democratize application development for software practitioners from diverse backgrounds.</t>
  </si>
  <si>
    <t>REST API sub-category contains 3.6% questions and has one topics: (1) Topic Authentication &amp; Authorization (3.6%) contains discussion about LCSD platforms support on diﬀerent standard authentication and authorization protocol such as OAuth2 (e.g.,Q30475542), SAML (e.g.,Q23624206), access token (e.g., “access token in android [Platform] sdk” in Q32943204).</t>
  </si>
  <si>
    <t>Fourth, the How-type questions are prevalent in all topics, but the What-type and Why-type (i.e., detail information for clarification) questions are more prevalent in the Platform Adoption and Platform Maintenance category.</t>
  </si>
  <si>
    <t>We have expanded our literature review with a comparison of key metrics around our observed LCSD topics against those previously reported for other domains while using the SO data (see Section 7.2).</t>
  </si>
  <si>
    <t>First, we find 40 LCSD topics that we group into five categories: Application Customization, Database and File Management, Platform Adoption, Platform Maintenance, and Third-party API Integration.</t>
  </si>
  <si>
    <t>PDF text extracted from 60 pages; sample evidence page: Not reported.</t>
  </si>
  <si>
    <t>. Therefore, a larger-scale empirical study of the challenges developers face to adopt and use the LCSD platforms was warranted. Such insights can complement our previous empirical study [6] as well as the existing LCSD literature - which so far has mainly used surveys or controlled studies to understand the needs of low-code practitioners [7, 44, 59, 60]. Specifically, in this paper, we present an empirical study of 33.7K SO posts relating to the top 38 LCSD platforms (according to Gartner [45]) at the time of our analysis to ascertain the interest and challenges of LCSD practitioners. We answer five research questions by analyzing the dataset. RQ1. What topics do LCSD practitioners discuss?Given that LCSD is a novel paradigm, it is vital to study the types of topics discussed by LCSD practitioners on a technical Q&amp;A platform such as SO. As a result, we use the topic modelling method LDA [27] on our 33.7K post dataset. We find a total of 40 LCSD topics grouped into five categories: Application Customization (30% Questions, 11 Topics), Data Storage (25% Questions, 9 Topics), Platform Adoption (20% Questions, 9 Topics), Platform Maintenance (14% Questions, 6 Topics), and Third-Party Integration (12% Questions, 5 Topics). Around 34% of questions are particular to the many supported capabilities of LCSD platforms, while the remaining 66% are regarding development activities, na...</t>
  </si>
  <si>
    <t>and LCSD platform vendors should support emerging topics such as Library Dependency Management, External Web Request Processing, Platform Infrastructure API, and Data Migration. RQ3. What types of questions are asked across the observed topic categories? From RQ1, we find some of the unique challenges for LCSD practitioners regarding Customization, Data Storage on the completely managed cloud platforms. This motivates us to explore further to understand more of those challenges. For instance, we want to understand if practitioners mostly ask about diﬀerent solution approaches (i.e., How-type) or further explanation clarification type (Why/What-type). Following previous studies[1, 122], we manually annotated a statistically significant number of posts (e.g., 471 Questions) into four categories. We find that How-type (57%) is the most common form of inquiry across all five topic categories, followed by What-type (18%), Why-type (14%), and Other-type (12%) questions. Most of the How-ty...</t>
  </si>
  <si>
    <t>The findings of this study have implications for all three LCSD stakeholders: LCSD platform vendors, LCSD developers/practitioners, Researchers, and Educators.</t>
  </si>
  <si>
    <t>Developer Discussion Topics on the Adoption and Barriers; of Low Code Software Development Platforms; Md Abdullah Al Alamin, Gias Uddin, Sanjay; Malakar, Sadia Afroz, Tameem Haider, (2020). Noname manuscript No. (will be inserted by the editor). arXiv:2209.00844v1 [cs.SE] 2 Sep 2022.</t>
  </si>
  <si>
    <t>P031</t>
  </si>
  <si>
    <t>31.A No-Code Workflow Builder for Non-Experts with Natural Language and Multi-Agent Collaboration.pdf</t>
  </si>
  <si>
    <t>research paper\31.A No-Code Workflow Builder for Non-Experts with Natural Language and Multi-Agent Collaboration.pdf</t>
  </si>
  <si>
    <t>AIAP: A No-Code Workflow Builder for Non-Experts with Natural Language and Multi-Agent Collaboration</t>
  </si>
  <si>
    <t>Language and Multi-Agent Collaboration; Hyunjin An; Seoul, Republic of Korea; Yongwon Kim</t>
  </si>
  <si>
    <t>and/or a fee. Request permissions from permissions@acm.org.; Conference acronym ’XX, June 03-05, 2018, Woodstock, NY; © 2018 Copyright held by the owner/author(s). Publication rights licensed to ACM.</t>
  </si>
  <si>
    <t>ACM</t>
  </si>
  <si>
    <t>Do, Not, Us, This, Code, Put, the, Correct, Terms, for, Your, Paper ACM Reference Format: Hyunjin An, Yongwon Kim, Wonduk Seo, Joonil Park, Daye Kang, Changhoon Oh, Dokyun Kim, and Seunghyun Lee. 2018. AIAP: A No-Code Workflow Builder for Non-Experts with Natural Language and Multi-Agent Collaboration. In Proceedings of Make sure to enter the corre</t>
  </si>
  <si>
    <t>While many tools are available for designing AI, non-experts still face challenges in clearly expressing their intent and managing system complexity. We introduce AIAP, a no-code platform that integrates natural language input with visual workflows. AIAP leverages a coordinated multi-agent system to decompose ambiguous user instructions into modular, actionable steps, hidden from users behind a unified interface. A user study involving 32 participants showed that AIAP’s AI-generated suggestions, modular workflows, and automatic identification of data, actions, and context significantly improved participants’ ability to develop services intuitively. These findings highlight that natural language-based visual programming significantly reduces barriers and enhances user experience in AI service design. CCS CONCEPTS •Do Not Use This Code → Generate the Correct Terms for Your Paper; Generate the Correct Terms for Your Paper ; Generate the Correct Terms for Your Paper; Generate the Correct Terms for Your Paper.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t>
  </si>
  <si>
    <t>Usability and user experience; Integration; Model-driven / visual programming roots</t>
  </si>
  <si>
    <t>These findings highlight that natural language-based visual programming significantly reduces barriers and enhances user experience in AI service design. | In Proceedings of Make sure to enter the correct conference title from your rights confirmation email (Conference acronym ’XX). | The results demonstrated that participants were able to create functional AI applications with minimal guidance, reporting high satisfaction and improved efficiency throughout the development process.</t>
  </si>
  <si>
    <t>We introduce AIAP, a no-code platform that integrates natural language input with visual workflows.</t>
  </si>
  <si>
    <t>This paper makes the following key contributions to the HCI community: • We present the design and implementation of AIAP, a nocode AI service development platform that integrates natural language prompts, visual programming, and multi-agent collaboration to support non-expert users. • We propose a novel automated pipeline that leverages multiagent collaboration to extract user intentions (data, actions, context) from natural language and link them to relevant APIs and tools. • We empirically...</t>
  </si>
  <si>
    <t>AIAP leverages a coordinated multi-agent system to decompose ambiguous user instructions into modular, actionable steps, hidden from users behind a unified interface.</t>
  </si>
  <si>
    <t>A user study involving 32 participants showed that AIAP’s AI-generated suggestions, modular workflows, and automatic identification of data, actions, and context significantly improved participants’ ability to develop services intuitively.</t>
  </si>
  <si>
    <t>However, managing complex programs can become challenging due to screen space limitations and the potential for an overwhelming number of node connections.</t>
  </si>
  <si>
    <t>AIAP: A No-Code Workflow Builder for Non-Experts with Natural Language and Multi-Agent Collaboration Hyunjin An Enhans Seoul, Republic of Korea hyunjin@enhans.ai Yongwon Kim Department of Animation, Kaywon University of Art &amp; Design Uiwang-si, Gyeonggi-do, Republic of Korea yongwon@kaywon.ac.kr Wonduk Seo Enhans Seoul, Republic of Korea wonduk@enhans.ai Joonil Park Enhans Seoul, Republic of Korea joonil@enhans.ai Daye Kang Enhans Seoul, Republic of Korea daye@enhans.ai Changhoon Oh Graduate S...</t>
  </si>
  <si>
    <t>A user study involving 32 participants showed that AIAP’s AI-generated suggestions, modular workflows, and automatic identification of data, actions, and context significantly improved participants’ ability to develop services intuitively. | In the first stage, 22 participants completed structured tasks using AIAP, and provided initial feedback on usability and system clarity. | In the second stage, 10 participants independently designed and built AI services in a free-form exploration study. | A total of 22 participants were recruited through both announcements and snowball sampling.</t>
  </si>
  <si>
    <t>To evaluate the effectiveness of AIAP, we conducted a two-stage user study with non-expert participants.</t>
  </si>
  <si>
    <t>By distributing these responsibilities among specialized agents that each excel in different aspects of the development process, AIAP achieves greater reliability, adaptability, and precision while maintaining a simple user-facing interface that effectively bridges the identified capability, instruction, and intentionality gaps.</t>
  </si>
  <si>
    <t>A user study involving 32 participants showed that AIAP’s AI-generated suggestions, modular workflows, and automatic identification of data, actions, and context significantly improved participants’ ability to develop services intuitively. | These findings highlight that natural language-based visual programming significantly reduces barriers and enhances user experience in AI service design.</t>
  </si>
  <si>
    <t>AIAP: A No-Code Workflow Builder for Non-Experts with Natural Language and Multi-Agent Collaboration Hyunjin An Enhans Seoul, Republic of Korea hyunjin@enhans.ai Yongwon Kim Department of Animation, Kaywon University of Art &amp; Design Uiwang-si, Gyeonggi-do, Republic of Korea yongwon@kaywon.ac.kr Wonduk Seo Enhans Seoul, Republic of Korea wonduk@enhans.ai Joonil Park Enhans Seoul, Republic of Korea joonil@enhans.ai Daye Kang Enhans Seoul, Republ... | These findings highlight that natural language-based visual programming significantly reduces barriers and enhances user experience in AI service design.</t>
  </si>
  <si>
    <t>Riley is a security manager at a major e-commerce company, responsible for monitoring thousands of user-uploaded product review images daily to ensure that no personal information appears in the content-a violation of platform policy.</t>
  </si>
  <si>
    <t>Furthermore, we plan to enhance the system’s applicability and scalability across more diverse environments by leveraging MCP (Model Context Protocol)3 and emerging technical protocols. | Such modularization significantly improves readability, facilitates maintenance, and ensures workflow flexibility.</t>
  </si>
  <si>
    <t>Notable examples include PromptMaker [20], which enables AI/ML model prototyping through natural language prompts; Rapsai [11], which supports rapid prototyping of AI-based multimedia applications; and SEAM-EZ [ 50], which simplifies stateful analytics</t>
  </si>
  <si>
    <t>By observing 10 non-experts designing LLM prompts, the researchers discovered the following patterns: (1) reliance on opportunistic trial-and-error instead of systematic approaches, (2) hasty generalization from single instances, (3) inappropriate application of human-human interaction norms to LLMs, (4) preference for direct instructions over providing examples, and (5) focus on limited scenarios rather than systematic testing.</t>
  </si>
  <si>
    <t>AIAP: A No-Code Workflow Builder for Non-Experts with Natural Language and Multi-Agent Collaboration Hyunjin An Enhans Seoul, Republic of Korea hyunjin@enhans.ai Yongwon Kim Department of Animation, Kaywon University of Art &amp; Design Uiwang-si, Gyeonggi-do, Republic of Korea yongwon@kaywon.ac.kr Wonduk Seo Enhans Seoul, Republic of Korea wonduk@enhans.ai Joonil Park Enhans Seoul, Republic of Korea joonil@enhans.ai Daye Kang Enhans Seoul, Republic of Korea daye@enhans.ai Changhoon Oh Graduate School of Information, Yonsei University Seoul, Rep...</t>
  </si>
  <si>
    <t>Zamfirescu-Pereira et al.[51]’s research complements this by emphasizing the need for systematic prompt testing mechanisms, education about effective prompting strategies, and interfaces that clarify the special nature of human-machine interactions.</t>
  </si>
  <si>
    <t>ACM, New York, NY, USA, 14 pages. https://doi.org/XXXXXXX.XXXXXXX 1 INTRODUCTION Recent advancements in artificial intelligence (AI)-particularly in large language models (LLMs) and multi-agent systems-have significantly expanded the range of tasks that can be automated or supported through intelligent systems [22].</t>
  </si>
  <si>
    <t>Although chat-based interfaces provide a low barrier to entry, their linear and opaque nature limits support for complex service development [39, 51].</t>
  </si>
  <si>
    <t>AIAP reduces cognitive load and enhances usability through three core features: (1) AI-generated suggestions that convert natural language inputs into structured, actionable steps; (2) a modular, node-based visual interface that facilitates intuitive service construction and debugging; and (3) automatic identification and linking of data, actions, and context via intelligent multi-agent collaboration.</t>
  </si>
  <si>
    <t>PDF text extracted from 14 pages; sample evidence page: p. 1.</t>
  </si>
  <si>
    <t>and the potential for an overwhelming number of node connections. Block-based visual programming represents programming logic using interlocking blocks, each corresponding to a specific operation or data type [18, 21, 23, 30, 31, 37, 48, 53]. Users can perform drag-and-drop actions on these blocks to build programs, linking them to form sequences of operations. This approach offers greater flexibility than flowchart-based visual programming, as it allows for nesting and reuse of code blocks. Nonetheless, visualizing complex logic can still be challenging, as most elements are closely tied to programming concepts. This study introduces AIAP, a tool that addresses the limitations of traditional visual programming by leveraging LLMs to abstract away programming complexities. Using a simplified flowchart approach combined with natural language prompts, AIAP enables non-technical users to create AI services. 2.2 Integration of LLMs in Visual Programming The emergence of LLMs has brought significant advancements to the field of visual programming. Several empirical studies have examined LLMs’ potential as development tools [ 12, 15, 27, 38], and comparisons between LLM-generated and human-authored code and explanations [15, 27, 35] have demonstrated that, when leveraged properly, LLMs can provide substantial value to developers and students. These models possess the ability to gen...</t>
  </si>
  <si>
    <t>may address. 7.1 Harmonizing User Intent and System Understanding One of the most persistent challenges non-experts face when interacting with AI systems is articulating their intent clearly while grasping the system’s true capabilities [39]. Users often default to intuition, heuristics, or trial-and-error strategies [51], rather than employing systematic planning. This results in what Subramonyam et al. [39] term the “intentionality gap, ” where users struggle to align their high-level goals with system behaviors and outputs. AIAP addresses this gap through a combination of visual programming and multi-agent collaboration. In particular, the AIGenerated Suggestion mechanism functions not only as an autocomplete tool, but also as a cognitive mediator-it reinterprets loosely structured prompts and transforms them into clear, sequenced operations. This interaction style builds on and extends the concept of “co-envisioning” [39], in which systems actively participate in goal clarificat...</t>
  </si>
  <si>
    <t>These patterns can be interpreted as practical manifestations of the design gaps identified by Subramonyam et al.[39].</t>
  </si>
  <si>
    <t>Language and Multi-Agent Collaboration; Hyunjin An; Seoul, Republic of Korea; Yongwon Kim (2023). AIAP: A No-Code Workflow Builder for Non-Experts with Natural Language and Multi-Agent Collaboration. and/or a fee. Request permissions from permissions@acm.org.; Conference acronym ’XX, June 03-05, 2018, Woodstock, NY; © 2018 Copyright held by the owner/author(s). Publication rights licensed to ACM..</t>
  </si>
  <si>
    <t>P032</t>
  </si>
  <si>
    <t>32.AutoGen Studio.pdf</t>
  </si>
  <si>
    <t>research paper\32.AutoGen Studio.pdf</t>
  </si>
  <si>
    <t>System Demonstrations, pages 72-79 November 12-16, 2024 ©2024 Association for Computational Linguistics AUTO GEN STUDIO : A No-Code Developer Tool for Building and</t>
  </si>
  <si>
    <t>November 12-16, 2024 ©2024 Association for Computational Linguistics; AUTO GEN STUDIO : A No-Code Developer Tool for Building and; Debugging Multi-Agent Systems; Victor Dibia, Jingya Chen, Gagan Bansal, Suff Syed,</t>
  </si>
  <si>
    <t>Proceedings of the 2024 Conference on Empirical Methods in Natural Language Processing</t>
  </si>
  <si>
    <t>Multi-agent systems, where multiple agents (generative AI models + tools) collaborate, are emerging as an effective pattern for solving long-running, complex tasks in numerous domains. However, specifying their parameters (such as models, tools, and orchestration mechanisms etc,.) and debugging them remains challenging for most developers. To address this challenge, we present AUTO GEN STUDIO , a no-code developer tool for rapidly prototyping, debugging, and evaluating multi-agent workflows built upon the AUTO GEN framework. AUTO GEN STUDIO offers a web interface and a Python API for representing LLM-enabled agents using a declarative (JSON-based) specification. It provides an intuitive drag-and-drop UI for agent workflow specification, interactive evaluation and debugging of workflows, and a gallery of reusable agent components. We highlight four design principles for no-code multi-agent developer tools and contribute an open-source implementation.1</t>
  </si>
  <si>
    <t>AI and automation; Integration; Professional developer role change</t>
  </si>
  <si>
    <t>Proceedings of the 2024 Conference on Empirical Methods in Natural Language Processing System Demonstrations, pages 72-79 November 12-16, 2024 ©2024 Association for Computational Linguistics AUTO GEN STUDIO : A No-Code Developer Tool for Building and Debugging Multi-Agent Systems Victor Dibia, Jingya Chen, Gagan Bansal, Suff Syed, Adam Fourney, Erkang Zhu, Chi Wang, Saleema Amershi Microsoft Research, Redmond, United States {victordibia, jingyachen, gaganbansal, suffsyed, adam.fourney, erkang...</t>
  </si>
  <si>
    <t>To the best of our knowledge, AUTO GEN STUDIO is the first open-source project to explore a no-code interface for autonomous MULTI -AGENT application development, providing a suitable platform for research and practice in MULTI -AGENT developer tooling.</t>
  </si>
  <si>
    <t>To address this challenge, we present AUTO GEN STUDIO , a no-code developer tool for rapidly prototyping, debugging, and evaluating multi-agent workflows built upon the AUTO GEN framework.</t>
  </si>
  <si>
    <t>The build view enables users to author (define-andcompose) multi-agent workflows.</t>
  </si>
  <si>
    <t>AutoGen Studio</t>
  </si>
  <si>
    <t>7 Future Research Directions While we have explored early implementations of the design requirements mentioned above, our efforts in building AUTO GEN STUDIO have also identified two important future research areas and associated research questions. • Offline Evaluation Tools: This encompasses questions such as how can we measure the performance, reliability, and reusability of agents across tasks?</t>
  </si>
  <si>
    <t>However, while multi-agent applications advance 1https://github.com/microsoft/autogen/tree/ autogenstudio/samples/apps/autogen-studio Initiat or Code ex ecut or R epresent user, execute co..</t>
  </si>
  <si>
    <t>Proceedings of the 2024 Conference on Empirical Methods in Natural Language Processing System Demonstrations, pages 72-79 November 12-16, 2024 ©2024 Association for Computational Linguistics AUTO GEN STUDIO : A No-Code Developer Tool for Building and Debugging Multi-Agent Systems Victor Dibia, Jingya Chen, Gagan Bansal, Suff Syed, Adam Fourney, Erkang Zhu, Chi Wang, Saleema Amershi Microsoft Research, Redmond, United States {victordibia, jingyachen, gaganbansal, suffsyed, adam.fourney, erkang... | However, as tasks become more complex, requiring lengthy context and the ability to independently adapt to dynamic problem spaces, predefined pipelines demonstrate limited performance (Liu et al., 2024). | Finally, in Appendix A, we demonstrate how AUTOGEN STUDIO can effectively be used to support an engineer persona in rapidly prototyping, testing, and iteratively debugging a MULTI -AGENT workflow, and deploying it as an API endpoint to address a concrete task (generating books).</t>
  </si>
  <si>
    <t>Importantly, recent research has shown that transitioning from prescribed (fixed) agent pipelines to a multi-agent setup with autonomous capabilities can result in desirable behaviors such as improved factuality and reasoning (Du et al., 2023), as well as divergent thinking (Liang et al., 2023). | Additionally, developers need to debug and make sense of complex agent interactions to extract signals for system improvement.</t>
  </si>
  <si>
    <t>However, specifying their parameters (such as models, tools, and orchestration mechanisms etc,.) and debugging them remains challenging for most developers. | To address this challenge, we present AUTO GEN STUDIO , a no-code developer tool for rapidly prototyping, debugging, and evaluating multi-agent workflows built upon the AUTO GEN framework.</t>
  </si>
  <si>
    <t>STUDIO is not production ready i.e., it does not focus on implementing authentication and other security measures that are required for production ready deployments.</t>
  </si>
  <si>
    <t>Furthermore, how can we leverage human oversight and feedback to improve agent reliability, task performance and safety?</t>
  </si>
  <si>
    <t>2 Related Work 2.1 Agents ( LLMs + Tools) Generative AI models face limitations, including hallucination - generating content not grounded in fact - and limited performance on reasoning tasks or novel out-of-distribution problems.</t>
  </si>
  <si>
    <t>4.1.2 Testing and Debugging Workflows Workflows can be tested in-situ in the build view, or more systematically explored within the playground view.</t>
  </si>
  <si>
    <t>Q A Agent Drag to add a model Agent A Agent B Figure 1: AUTO GEN STUDIO provides a drag-n-drop UI where models, skills/tools, memory components can be defined, attached to agents and agents attached to workflows. our capacity to solve complex problems, they also introduce new challenges.</t>
  </si>
  <si>
    <t>Additionally, offering a repository or gallery where users can publish and share their workflows, skills, and agents promotes communal learning and innovation.</t>
  </si>
  <si>
    <t>Proceedings of the 2024 Conference on Empirical Methods in Natural Language Processing System Demonstrations, pages 72-79 November 12-16, 2024 ©2024 Association for Computational Linguistics AUTO GEN STUDIO : A No-Code Developer Tool for Building and Debugging Multi-Agent Systems Victor Dibia, Jingya Chen, Gagan Bansal, Suff Syed, Adam Fourney, Erkang Zhu, Chi Wang, Saleema Amershi Microsoft Research, Redmond, United States {victordibia, jingyachen, gaganbansal, suffsyed, adam.fourney, erkang.zhu, chiw, samershi}@microsoft.com Abstract Multi...</t>
  </si>
  <si>
    <t>drag-and-drop experience (Figure 1) for rapidly authoring complex MULTI -AGENT agent workflows, tools for profiling/debugging agent sessions, and a gallery of reusable/shareableMULTI - AGENT components. • We introduce profiling capabilities with visualizations of messages/actions by agents and metrics (costs, tool invocations, and tool output status) for debugging MULTI -AGENT workflows. • Based on our experience building and supporting AUTO GEN STUDIO as an open-source tool with a significant user base (over 200 K downloads within a 5-month...</t>
  </si>
  <si>
    <t>However, specifying their parameters (such as models, tools, and orchestration mechanisms etc,.) and debugging them remains challenging for most developers.</t>
  </si>
  <si>
    <t>And how can we compare different agent architectures and collaboration protocols? • Understanding and quantifying the impact of multi-agent system design decisions: These questions include determining the optimal number and composition of agents for a given problem, the best way to distribute responsibilities and coordinate actions among agents, and the trade-offs between centralized and decentralized control or between homogeneous and heterogeneous agents. • Optimizing of multi-agent systems: Research directions here include the dynamic generation of agents based on task requirements and available resources, tuning workflow configurations to achieve the best performance, and adapting agent teams to changing environments and user preferences.</t>
  </si>
  <si>
    <t>Proceedings of the 2024 Conference on Empirical Methods in Natural Language Processing System Demonstrations, pages 72-79 November 12-16, 2024 ©2024 Association for Computational Linguistics AUTO GEN STUDIO : A No-Code Developer Tool for Building and Debugging Multi-Agent Systems Victor Dibia, Jingya Chen, Gagan Bansal, Suff Syed, Adam Fourney, Erkang Zhu, Chi Wang, Saleema Amershi Microsoft Research, Redmond, United States {victordibia, jingyachen, gaganbansal, suffsyed, adam.fourney, erkang.zhu, chiw, samershi}@microsoft.com Abstract Multi-agent systems, where multiple agents (generative AI models + tools) collaborate, are emerging as an effective pattern for solving long-running, complex tasks in numerous domains.</t>
  </si>
  <si>
    <t>, including hallucination - generating content not grounded in fact - and limited performance on reasoning tasks or novel out-of-distribution problems. To address these issues, practice has shifted towards agentic implementations where models are given access to tools to act and augment their performance (Mialon et al., 2023). Agentic implementations, such as React (Yao et al., 2022), explore a Reason and Act paradigm that uses LLMs to generate both reasoning traces and task-specific actions in an interleaved manner. As part of this process, developers have explored frameworks that build prescriptive pipelines interleaving models and tools (e.g., LIDA (Dibia, 2023), LangChain (Chase, 2022)). However, as tasks become more complex, requiring lengthy context and the ability to independently adapt to dynamic problem spaces, predefined pipelines demonstrate limited performance (Liu et al., 2024). This limitation has led to the exploration of more flexible and adaptive agent architectures. 2.2 MULTI -AGENT Frameworks Several frameworks have been proposed to provide abstractions for creating such applications. AutoGen (Wu et al., 2023) is an open-source extensible framework that allows developers to build large MULTI -AGENT applications. CAMEL (Li et al., 2024) is designed to facilitate autonomous cooperation among communicative agents through role-playing, using inception promptin...</t>
  </si>
  <si>
    <t>directions. To the best of our knowledge, AUTO GEN STUDIO is the first open-source project to explore a no-code interface for autonomous MULTI -AGENT application development, providing a suitable platform for research and practice in MULTI -AGENT developer tooling. 2 Related Work 2.1 Agents ( LLMs + Tools) Generative AI models face limitations, including hallucination - generating content not grounded in fact - and limited performance on reasoning tasks or novel out-of-distribution problems. To address these issues, practice has shifted towards agentic implementations where models are given access to tools to act and augment their performance (Mialon et al., 2023). Agentic implementations, such as React (Yao et al., 2022), explore a Reason and Act paradigm that uses LLMs to generate both reasoning traces and task-specific actions in an interleaved manner. As part of this process, developers have explored frameworks that build prescriptive pipelines interleaving models and tools (e.g...</t>
  </si>
  <si>
    <t>November 12-16, 2024 ©2024 Association for Computational Linguistics; AUTO GEN STUDIO : A No-Code Developer Tool for Building and; Debugging Multi-Agent Systems; Victor Dibia, Jingya Chen, Gagan Bansal, Suff Syed, (2024). System Demonstrations, pages 72-79 November 12-16, 2024 ©2024 Association for Computational Linguistics AUTO GEN STUDIO : A No-Code Developer Tool for Building and. Proceedings of the 2024 Conference on Empirical Methods in Natural Language Processing.</t>
  </si>
  <si>
    <t>P033</t>
  </si>
  <si>
    <t>33.White-box LLM-supported Low-code Engineering.pdf</t>
  </si>
  <si>
    <t>research paper\33.White-box LLM-supported Low-code Engineering.pdf</t>
  </si>
  <si>
    <t>10.1145/3652620.3687803</t>
  </si>
  <si>
    <t>White-box LLM-supported Low-code Engineering: A Vision and First Insights</t>
  </si>
  <si>
    <t>First Insights; Thomas Buchmann∗; René Peinl∗; Felix Schwägerl∗</t>
  </si>
  <si>
    <t>ACM Reference Format:; Thomas Buchmann, René Peinl, and Felix Schwägerl. 2024. White-box LLMsupported Low-code Engineering: A Vision and First Insights. In ACM/IEEE; 27th International Conference on Model Driven Engineering Languages and</t>
  </si>
  <si>
    <t>Model-driven engineering, large language models, low-code, semiformal, artificial intelligence ACM Reference Format: Thomas Buchmann, René Peinl, and Felix Schwägerl. 2024. White-box LLMsupported Low-code Engineering: A Vision and First Insights. In ACM/IEEE 27th International Conference on Model Driven Engineering Languages and Systems (MODELS Com</t>
  </si>
  <si>
    <t>Low-code development (LCD) platforms promise to empower citizen developers to define core domain models and rules for business applications. However, as domain rules grow complex, LCD platforms may fail to do so effectively. Generative AI, driven by large language models (LLMs), offers source code generation from natural language but suffers from its non-deterministic black-box nature and limited explainability. Therefore, rather than having LLMs generate entire applications from single prompts, we advocate for a white-box approach allowing citizen developers to specify domain models semi-formally, attaching constraints and operations as natural language annotations. These annotations are fed incrementally into an LLM contextualized with the generated application stub. This results in deterministic and better explainable generation of static application components, while offering citizen developers an appropriate level of abstraction. We report on a case study in manufacturing execution systems, where the implementation of the approach provides first insights. CCS Concepts •Software and its engineering → Automatic programming; System modeling languages; •Computing methodologies → Natural language processing.</t>
  </si>
  <si>
    <t>Platform comparison; Citizen development; Model-driven / visual programming roots</t>
  </si>
  <si>
    <t>They found that the LLM had problems with splits and joins in the process. | Both the model and the generated code can be found in an on-line repository.1 For the implementation of our suggested approach, we envision a low-code modeling environment containing a language that is deliberately semi-formal. | The intermediate source code can be found in the on-line repository, too.2Figure 3 shows Order as representative of the five generated Java classes.</t>
  </si>
  <si>
    <t>White-box LLM-supported Low-code Engineering: A Vision and First Insights Thomas Buchmann∗ thomas.buchmann@hofuniversity.de Hof University of Applied Sciences Hof, Germany René Peinl∗ rene.peinl@hof-university.de Hof University of Applied Sciences Hof, Germany Felix Schwägerl∗ felix.schwaegerl@oth-regensburg.de OTH Regensburg Regensburg, Germany Abstract Low-code development (LCD) platforms promise to empower citizen developers to define core domain models and rules for business applications.</t>
  </si>
  <si>
    <t>White-box LLM-supported Low-code Engineering: A Vision and First Insights Thomas Buchmann∗ thomas.buchmann@hofuniversity.de Hof University of Applied Sciences Hof, Germany René Peinl∗ rene.peinl@hof-university.de Hof University of Applied Sciences Hof, Germany Felix Schwägerl∗ felix.schwaegerl@oth-regensburg.de OTH Regensburg Regensburg, Germany Abstract Low-code development (LCD) platforms promise to empower citizen developers to define core...</t>
  </si>
  <si>
    <t>They state that future research needs to show “which tasks can be achieved with already existing models” and that data sets, benchmarks and new LLMs specialized on process management are required.</t>
  </si>
  <si>
    <t>This is a special form of what is known as “tool-use” of LLMs [6].</t>
  </si>
  <si>
    <t>One of the first to evaluate the use of LLMs in model driven development is [3].</t>
  </si>
  <si>
    <t>White-box LLM-supported Low-code Engineering: A Vision and First Insights Thomas Buchmann∗ thomas.buchmann@hofuniversity.de Hof University of Applied Sciences Hof, Germany René Peinl∗ rene.peinl@hof-university.de Hof University of Applied Sciences Hof, Germany Felix Schwägerl∗ felix.schwaegerl@oth-regensburg.de OTH Regensburg Regensburg, Germany Abstract Low-code development (LCD) platforms promise to empower citizen developers to define core... | Code generation capabilities have not only been improved a lot in the past months, but this capability also contributed to general reasoning features of LLMs [10, 16].</t>
  </si>
  <si>
    <t>However, as domain rules grow complex, LCD platforms may fail to do so effectively. | However, the more complicated domain rules become, the more formalized the language and interface for domain rules must be, so that citizen developers once again are exposed to complicated syntax and semantics.</t>
  </si>
  <si>
    <t>Some limitations of LLMs like their well-known weakness in doing maths can be overcome by teaching them how to use a calculator.</t>
  </si>
  <si>
    <t>Keywords Model-driven engineering, large language models, low-code, semiformal, artificial intelligence ACM Reference Format: Thomas Buchmann, René Peinl, and Felix Schwägerl.</t>
  </si>
  <si>
    <t>However, as domain rules grow complex, LCD platforms may fail to do so effectively.</t>
  </si>
  <si>
    <t>For all three tasks, GPT4 performs similarly to or better than the benchmark, i.e., specific applications for the respective task.</t>
  </si>
  <si>
    <t>of LLMs like their well-known weakness in doing maths can be overcome by teaching them how to use a calculator. This is a special form of what is known as “tool-use” of LLMs [6]. These tools are usually available in form of an API with a formal syntax that is close to natural language. With such an API, an LLM can e.g. do an online search for information on a certain topic to be able to answer a question based on this context information, or trigger real-world actions like booking a hotel. An important question to address is whether models need fine-tuning , should get a low rank adaptation or it is enough to do few-shot learning by presenting them some examples to be able to generate the desired output. One of the first to evaluate the use of LLMs in model driven development is [3]. They use ChatGPT to create ER, UML, BPMN and Heraklit diagrams with reasonable success. Vidgof et al. [17] analyze the applicability of LLMs to Business Process Management and argue that they are especially well-suited for the identification of processes based on documents. For process analysis, LLMs could be used to find filed complaints and summarize them. According to Vidgof et al., LLMs can also be used for redesign and implementation of business processes. However, the argumentation seems overly optimistic and lacks proof of how well their ideas work in practice. They state that future rese...</t>
  </si>
  <si>
    <t>needs to show “which tasks can be achieved with already existing models” and that data sets, benchmarks and new LLMs specialized on process management are required. Forell and Schüler [ 4] use GPT-4 to generate Petri-Net based process models in a two-step process. They found that the LLM had problems with splits and joins in the process. Nevertheless, for less complex models the approach was working. Kourani et al. [ 8] also use a two-step process, but use Partially Ordered Workflow Language (POWL) as an intermediate process representation that can be used to generate BPMN or Petri nets. They find GPT-4 to perform much better than Gemini. Grohs et al. [5] analyze the tasks of mining imperative process models from textual descriptions, mining declarative process models from textual descriptions, and assessing the suitability of process tasks from textual descriptions for robotic process automation. For all three tasks, GPT4 performs similarly to or better than the benchmark, i.e., sp...</t>
  </si>
  <si>
    <t>3https://github.com/features/copilot 4https://ollama.com/ 5https://github.com/scx-othr/mdeintelligence24-shop-example/tree/main/src/stage2 3.4 Further Aspects During the practical experimentation of this example, seven of the nine operation bodies were provided correctly by the LLM, while we had to re-phrase two of them.</t>
  </si>
  <si>
    <t>First Insights; Thomas Buchmann∗; René Peinl∗; Felix Schwägerl∗ (2024). White-box LLM-supported Low-code Engineering: A Vision and First Insights. ACM Reference Format:; Thomas Buchmann, René Peinl, and Felix Schwägerl. 2024. White-box LLMsupported Low-code Engineering: A Vision and First Insights. In ACM/IEEE; 27th International Conference on Model Driven Engineering Languages and.</t>
  </si>
  <si>
    <t>https://doi.org/10.1145/3652620.3687803</t>
  </si>
  <si>
    <t>P034</t>
  </si>
  <si>
    <t>34.Towards the interoperability of low-code.pdf</t>
  </si>
  <si>
    <t>research paper\34.Towards the interoperability of low-code.pdf</t>
  </si>
  <si>
    <t>Towards the interoperability of low-code platforms Iván Alfonso1∗, Aaron Conrardy1,2∗, and Jordi Cabot1,2</t>
  </si>
  <si>
    <t>Iván Alfonso1∗, Aaron Conrardy1,2∗, and Jordi Cabot1,2</t>
  </si>
  <si>
    <t>arXiv:2412.05075v1 [cs.SE] 6 Dec 2024</t>
  </si>
  <si>
    <t>Low-code · Interoperability · Data model · Vendor lock-in 1</t>
  </si>
  <si>
    <t>. With the promise of accelerating software development, lowcode platforms (LCPs) are becoming popular across various industries. Nevertheless, there are still barriers hindering their adoption. Among them, vendor lock-in is a major concern, especially considering the lack of interoperability between these platforms. Typically, after modeling an application in one LCP, migrating to another requires starting from scratch remodeling everything (the data model, the graphical user interface, workflows, etc.), in the new platform. To overcome this situation, this work proposes an approach to improve the interoperability of LCPs by (semi)automatically migrating models specified in one platform to another one. The concrete migration path depends on the capabilities of the source and target tools. We first analyze popular LCPs, characterize their import and export alternatives and define transformations between those data formats when available. This is then complemented with an LLM-based solution, where image recognition features of large language models are employed to migrate models based on a simple image export of the model at hand. The full pipelines are implemented on top of the BESSER modeling framework that acts as a pivot representation between the tools.</t>
  </si>
  <si>
    <t>Model-driven / visual programming roots; AI and automation; Vendor lock-in</t>
  </si>
  <si>
    <t>In both cases, some elements are missing or wrong as a result of the exporting/importing limitations of the demonstrated LCPs. | Towards the interoperability of low-code platforms 11 Fig.4: Library UML class diagram (a) Initial data model in Mendix (b) Resulting data model in PowerApps Fig.5: From formal export to alternative import method 7 Discussion This section discusses some findings and reflections on the interoperability challenge. | Lack of support for import/export models in LCPsWe f...</t>
  </si>
  <si>
    <t>Towards the interoperability of low-code platforms Iván Alfonso1∗, Aaron Conrardy1,2∗, and Jordi Cabot1,2 1 Luxembourg Institute of Science and Technology, Esch-sur-Alzette, Luxembourg {ivan.alfonso,aaron.conrardy,jordi.cabot}@list.lu 2 University of Luxembourg, Esch-sur-Alzette, Luxembourg Abstract.</t>
  </si>
  <si>
    <t>The full pipelines are implemented on top of the BESSER modeling framework that acts as a pivot representation between the tools.</t>
  </si>
  <si>
    <t>Unfortunately, all major players are commercial products with limited import and export capabilities creating a vendor lock-in effect, which represents a significant risk for users and companies [24,3].</t>
  </si>
  <si>
    <t>BESSER; Mendix; OutSystems</t>
  </si>
  <si>
    <t>Notethatsometoolsrequiretheinstallationofthird-partysolutionstoexport the models and/or offer limited import capabilities that derive partial schemas from existing data sources but cannot import explicit models.</t>
  </si>
  <si>
    <t>Analysesofthecurrentmarket,suchasGartner’sMagicQuadrant[15],assess and positions LCPs based on various criteria, such as their industry leadership, features, vision, etc.</t>
  </si>
  <si>
    <t>The concrete migration path depends on the capabilities of the source and target tools.</t>
  </si>
  <si>
    <t>Towards the interoperability of low-code platforms 13 models or update existing ones.</t>
  </si>
  <si>
    <t>The remainder of the paper is organized as follows: In Section 2, we perform theinteroperabilityanalysisofLCPs.Section3offersanoverviewofourproposed solution.</t>
  </si>
  <si>
    <t>In both cases, some elements are missing or wrong as a result of the exporting/importing limitations of the demonstrated LCPs. | Towards the interoperability of low-code platforms 11 Fig.4: Library UML class diagram (a) Initial data model in Mendix (b) Resulting data model in PowerApps Fig.5: From formal export to alternative import method 7 Discussion This section discusses some findings and reflections on the interoperability challenge. | Lack of support for import/export models in LCPsWe found support for import and export of models rather limited.</t>
  </si>
  <si>
    <t>With the promise of accelerating software development, lowcode platforms (LCPs) are becoming popular across various industries. | To overcome this situation, this work proposes an approach to improve the interoperability of LCPs by (semi)automatically migrating models specified in one platform to another one.</t>
  </si>
  <si>
    <t>Nevertheless, there are still barriers hindering their adoption. | Among them, vendor lock-in is a major concern, especially considering the lack of interoperability between these platforms.</t>
  </si>
  <si>
    <t>This study evaluates various features, including security, scalability, deployment support,andinteroperability.Itsinteroperabilityanalysisfocusesondetermining whether the LCP supports interaction with external services (such as Dropbox or SharePoint) and connectivity to external data sources for building forms.</t>
  </si>
  <si>
    <t>Fig.3: Overview of image to model pipeline with PowerApps data model B-UML models but as PlantUML is a format that the LLM has seen much more often in the training data, we get better results going through PlantUML As the usage of an LLM does not guarantee the completeness and correctness of the transformation due to its nondeterministic nature, LCP users have the possibility to edit either the PlantUML or B-UML model to improve the results if necessary.</t>
  </si>
  <si>
    <t>We first analyze popular LCPs, characterize their import and export alternatives and define transformations between those data formats when available.</t>
  </si>
  <si>
    <t>When this alternative is used to complement a partial model export using the technique in Section 4.1, we provide as well the partial model as additional resource and ask the LLM to respect the elements in that file and complement them with the missing ones (typically, associations that can be seen in the image but are missing in the export).</t>
  </si>
  <si>
    <t>For example, LCPs like Mendix, OutSystems, and PowerApps are positioned as market leaders and are among the most widely used across different industries in areas such as process automation, financial services, public sector industries, and others.</t>
  </si>
  <si>
    <t>Keywords: Low-code · Interoperability · Data model · Vendor lock-in 1 Introduction Model-drivenapproachessuchasmodel-drivenengineering(MDE),model-driven architecture (MDA) or model-driven development (MDD) aim to streamline and optimize the delivery of applications from design through development, deployment, and operation by leveraging models at different levels of abstraction [5].</t>
  </si>
  <si>
    <t>PDF text extracted from 16 pages; sample evidence page: Not reported.</t>
  </si>
  <si>
    <t>, we propose a model-based migration approach to enable interoperability among the leading LCPs. This model-based approach is enhanced with capabilities of visual large language models (LLMs) when needed. The remainder of the paper is organized as follows: In Section 2, we perform theinteroperabilityanalysisofLCPs.Section3offersanoverviewofourproposed solution. Section 4 details the export model options we propose while 5 details theprocesstoimporttheexportedmodelsintoadifferenttool.Section6presents the tool support. Section 7 discusses some of the challenges we have identified. Finally, Section 8 reviews related work and Section 9 concludes the paper. 2 Evaluation of the interoperability among low-code tools Vendor lock-in appears as the second most significant barrier in the adoption of low-code tools in a survey conducted by OutSystems [16]. The problem of vendor lock-in is also highlighted in other studies [22,19]. Indeed, due to lack of interoperability among LCPs, when an application is developed on a specific LCP, migrating to another provider often requires redevelopment on the new platform [20]. Interoperability between two LCPs could be defined at the model or runtime level. The latter would imply that applications generated by one LCP could be executed on another LCP. The former implies that the model created in one LCP can be imported in another LCP to enable the...</t>
  </si>
  <si>
    <t>. BESSER is an open-source low-code platform implemented in Python, featuring a modeling framework and a language called B-UML. This language supports the specification of several model types, including structural (or data), object, GUI, deployment, and state machines, adhering to recognized standards such as UML and IFML. In our implementation, models intended for migration are transformed into B-UML models that can still be edited to complete the imported model before regenerating it according to the target LCP. As an example, we show the transformation of a simple library data model (see the UML class diagram for this model in Figure 4). This model is originally defined in Mendix. Let’s assume we want to first export it from Mendix and import it into PowerApps. First, the Mendix data model is exported as a JSON file using the formal method provided by Mendix. Then, a T2M transformation for Mendix takes the Mendix model and transforms it into a B-UML compliant version. To be impor...</t>
  </si>
  <si>
    <t>Iván Alfonso1∗, Aaron Conrardy1,2∗, and Jordi Cabot1,2 (2023). Towards the interoperability of low-code platforms Iván Alfonso1∗, Aaron Conrardy1,2∗, and Jordi Cabot1,2. arXiv:2412.05075v1 [cs.SE] 6 Dec 2024.</t>
  </si>
  <si>
    <t>P035</t>
  </si>
  <si>
    <t>35.Zero-code Generation of Trigger-action Based IoT Programs.pdf</t>
  </si>
  <si>
    <t>research paper\35.Zero-code Generation of Trigger-action Based IoT Programs.pdf</t>
  </si>
  <si>
    <t>10.1145/3678585</t>
  </si>
  <si>
    <t>ChatIoT: Zero-code Generation of Trigger-action Based IoT Programs</t>
  </si>
  <si>
    <t>Trigger-Action Program (TAP) is a simple but powerful format to realize intelligent IoT applications, especially in home;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t>
  </si>
  <si>
    <t>ACM Reference Format:; Based IoT Programs. Proc. ACM Interact. Mob. Wearable Ubiquitous Technol. 8, 3, Article 103 (September 2024), 29 pages.; permissions@acm.org.</t>
  </si>
  <si>
    <t>Cost and business value; Education and training; Governance and control</t>
  </si>
  <si>
    <t>Results show that ChatIoT can reduce token consumption by 26.1-84.9% and improve TAP generation accuracy by 4.2-65.5% compared to state-of-the-art approaches in multiple settings. | The widespread adoption of large language models (LLMs), such as ChatGPT [4], has demonstrated significant potential for the integration of LLMs into daily life, as indicated by various studies [27, 28, 36, 41, 52, 55, 57, 64]. | Wang et al. [55] reveal that LLM has the capability to assist or replace human effort...</t>
  </si>
  <si>
    <t>zero-code</t>
  </si>
  <si>
    <t>Within some smart home frameworks, the utilization of TAPs in the format of “IF &lt;triggers&gt; WHILE &lt;conditions&gt; THEN &lt;actions&gt;” is widespread.</t>
  </si>
  <si>
    <t>These methods enable users to generate TAPs with direct interactions with the nearby objects of interest.</t>
  </si>
  <si>
    <t>Existing trace-driven approaches and in-situ programming approaches depend on either customized interaction commands or well-labeled datasets, resulting in limited applicable scenarios.</t>
  </si>
  <si>
    <t>The action is selected according to the current policy as follows: 𝑎𝑖 = 𝜇 (𝑠𝑖 |𝜃 𝜇) + N𝑖 (7) where 𝑎𝑖 is the action selected by the current policy network, 𝑠𝑖 is the current observed state, and N𝑖 is the exploration noise.</t>
  </si>
  <si>
    <t>Alongside the system-generated TAP rules, we also manually crafted accurate TAP rules based on the user requests to serve as a benchmark for evaluating the system’s performance.</t>
  </si>
  <si>
    <t>Results show that ChatIoT can reduce token consumption by 26.1-84.9% and improve TAP generation accuracy by 4.2-65.5% compared to state-of-the-art approaches in multiple settings. | We also conducted a real user study, and ChatIoT can achieve 91.57% TAP generation accuracy. | Compared with state-of-the-art approaches[59], ChatIoT can achieve a significant reduction in token consumption, ranging from 26.1% to 78.8% and improve TAP generation accuracy by 7.5% to 65.5% across different synthetic homes. | The system is able to reduce token consumption by a staggering 52.5% to 84.9%, indicating an even greater efficiency in processing these particular types of requests.</t>
  </si>
  <si>
    <t>We implemented ChatIoT and evaluated its performance extensively.</t>
  </si>
  <si>
    <t>This strategy ensures that models operating with limited resources can achieve high accuracy and performance, effectively harmonizing the demands for efficiency and reliability in output.</t>
  </si>
  <si>
    <t>Results show that ChatIoT can reduce token consumption by 26.1-84.9% and improve TAP generation accuracy by 4.2-65.5% compared to state-of-the-art approaches in multiple settings. | The widespread adoption of large language models (LLMs), such as ChatGPT [4], has demonstrated significant potential for the integration of LLMs into daily life, as indicated by various studies [27, 28, 36, 41, 52, 55, 57, 64]. | Wang et al. [55] reveal that LLM has the capability to assist or replace human efforts in producing vast amounts of high-quality, human-like content more rapidly and cost-effectively.</t>
  </si>
  <si>
    <t>Results show that ChatIoT can reduce token consumption by 26.1-84.9% and improve TAP generation accuracy by 4.2-65.5% compared to state-of-the-art approaches in multiple settings. | The idea of using LLMs to improve the intelligence of smart home is not new.</t>
  </si>
  <si>
    <t>However, generating IoT programs is still a major challenge, due to the complex application requirements, the heterogeneous hardware and software, etc. | However, these approaches depend on either customized interaction commands or well-labeled datasets, resulting in limited applicable scenarios.</t>
  </si>
  <si>
    <t>Although in-situ programming is a promising technique for home automation, there are still practical challenges that may not be easily addressed in the near future, e.g., high user learning costs, privacy concerns, and high human sensing requirements.</t>
  </si>
  <si>
    <t>In ChatIoT, we use the Deep Deterministic Policy Gradient (DDPG) algorithm [37].</t>
  </si>
  <si>
    <t>This approach is efficient in terms of resource utilization and scalable, facilitating the incremental introduction of new models based on demand, rather than deploying an extensive array of models initially. | 8, 3, Article 103 (September 2024), 29 pages. https://doi.org/10.1145/3678585 1 Introduction The Internet of Things (IoT) has revolutionized the way we interact with the physical world.</t>
  </si>
  <si>
    <t>To speed up the TAP generation process, in-situ interactive programming methods [40, 43] have been proposed recently.</t>
  </si>
  <si>
    <t>Based on large-scale pre-training on massive text corpora and reinforcement learning from human feedback (RLHF), LLMs can produce superior capability in language understanding, generation, interaction, and reasoning.</t>
  </si>
  <si>
    <t>ChatIoT: Zero-code Generation of Trigger-action Based IoT Programs YI GAO, College of Computer Science and Technology, Zhejiang University, China KAIJIE XIAO, College of Computer Science and Technology, Zhejiang University, China FU LI, College of Computer Science and Technology, Zhejiang University, China WEIFENG XU, School of Software Technology, Zhejiang University, China JIAMING HUANG, College of Computer Science and Technology, Zhejiang University, China WEI DONG∗, College of Computer Science and Technology, Zhejiang University, China T...</t>
  </si>
  <si>
    <t>Wang et al. [55] reveal that LLM has the capability to assist or replace human efforts in producing vast amounts of high-quality, human-like content more rapidly and cost-effectively.</t>
  </si>
  <si>
    <t>ChatIoT: Zero-code Generation of Trigger-action Based IoT Programs YI GAO, College of Computer Science and Technology, Zhejiang University, China KAIJIE XIAO, College of Computer Science and Technology, Zhejiang University, China FU LI, College of Computer Science and Technology, Zhejiang University, China WEIFENG XU, School of Software Technology, Zhejiang University, China JIAMING HUANG, College of Computer Science and Technology, Zhejiang University, China WEI DONG∗, College of Computer Sc...</t>
  </si>
  <si>
    <t>Further, for those TAP requests including unknown sensing abilities, ChatIoT can also generate new AI models with knowledge distillation by multimodal LLMs, with a novel model customization method based on deep reinforcement learning.</t>
  </si>
  <si>
    <t>PDF text extracted from 29 pages; sample evidence page: Not reported.</t>
  </si>
  <si>
    <t>on the edge of networks through the implementation of model merging techniques. However, to attain optimal operational performance, it is imperative to devise an appropriate decision-making strategy. ChatIoT employs a model merging mindset, where the DRL decides on the appropriate model deployment strategy (including performing model merging) in order to achieve the deployment of the user’s desired model on the edge side. 3 Context-aware Compressive Prompting ChatIoT aims to enable users to generate TAPs utilizing natural language interfaces, rather than requiring traditional coding or configurations. In this section, we will present how ChatIoT enables users to generate TAPs in a token-efficient manner. We will first describe the overall workflow of TAP generation, including the inputs and outputs of ChatIoT. Then we will dive into the details of the context-aware prompting. 3.1 Overall Workflow of TAP Generation with Compressive Prompting Figure 2 shows the overall workflow of TAP generation, mainly including the input, the output, the context-aware prompting module of ChatIoT, and the DRL-based model customization module which will be described in the next section. 3.1.1 Inputs. The input to ChatIoT includes two parts, a TAP generation request using natural language from the user, and additional information (i.e., the context) about the sensors and actuators in the home....</t>
  </si>
  <si>
    <t>. 2 Related Work There are mainly three kinds of existing approaches which are closely related to ChatIoT, prompting schemes, TAP generating techniques and edge model deployment schemes. We will briefly describe these three kinds of related work and summarize their major differences from ChatIoT. 2.1 Prompting Schemes for LLMs Various studies demonstrate the powerful ability of LLM to assist users in their daily lives [36, 55, 64]. LLMs today, such as GPT-4 [7], Claude [5], and LLaMA [50], are tuned to follow instructions and are trained on large amounts of data. Therefore, they are capable of performing some tasks in a zero-shot manner. Within the instructions, a user can inform the LLMs of the input, the desired format of the output, and the method to generate TAPs. In practice, however, these methods still face significant performance degradation in more complex tasks within the zero-shot setting [14, 65]. Generating a chain of thought-a series of intermediate reasoning steps-sig...</t>
  </si>
  <si>
    <t>Trigger-Action Program (TAP) is a simple but powerful format to realize intelligent IoT applications, especially in home;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 (2024). ChatIoT: Zero-code Generation of Trigger-action Based IoT Programs. ACM Reference Format:; Based IoT Programs. Proc. ACM Interact. Mob. Wearable Ubiquitous Technol. 8, 3, Article 103 (September 2024), 29 pages.; permissions@acm.org..</t>
  </si>
  <si>
    <t>https://doi.org/10.1145/3678585</t>
  </si>
  <si>
    <t>P036</t>
  </si>
  <si>
    <t>36.Towards No-Code Programming of Cobots.pdf</t>
  </si>
  <si>
    <t>research paper\36.Towards No-Code Programming of Cobots.pdf</t>
  </si>
  <si>
    <t>Towards No-Code Programming of Cobots: Experiments with Code Synthesis by Large Code Models for Conversational Programming</t>
  </si>
  <si>
    <t>with Code Synthesis by Large Code Models for; Conversational Programming; Chalamalasetti Kranti1,*, Sherzod Hakimov 1 and David Schlangen 1,2</t>
  </si>
  <si>
    <t>Workshop Paper</t>
  </si>
  <si>
    <t>1st Workshop on Interactive Task Learning in Human-Robot co-construction (ITL4HRI) | IEEE RO-MAN 2025: International; Conference on Robot and Human Interactive Communication 2025, August 25-29, 2025, Eindhoven, Netherlands</t>
  </si>
  <si>
    <t>Program Synthesis, Cobots, Repetitive Assembly Tasks 1.</t>
  </si>
  <si>
    <t>While there has been a lot of research recently on robots in household environments, at the present time, most robots in existence can be found on shop floors, and most interactions between humans and robots happen there. “Collaborative robots” (cobots) designed to work alongside humans on assembly lines traditionally require expert programming, limiting ability to make changes, or manual guidance, limiting expressivity of the resulting programs. To address these limitations, we explore using Large Language Models (LLMs), and in particular, their abilities of doing in-context learning, for conversational code generation. As a first step, we define SARTCo, the “ Spatial Arrangement and Reconstruction Tasks for Cobots ”, a 2.5D structure building task designed to lay the foundation for simulating industry assembly scenarios. In this task, a ‘programmer’ instructs a cobot, using natural language, on how a certain assembly is to be built; that is, the programmer induces a program, through natural language. We create a dataset that pairs target structures with various example instructions (human-authored, template-based, and model-generated) and example code. With this, we systematically evaluate the capabilities of state-of-the-art LLMs for synthesising this kind of code, given in-context examples. Evaluating in a simulated environment, we find that LLMs are capable of generating accurate ‘first order code’ (instruction sequences), but have problems producing ‘higher-order code’ (abstractions such as functions, or use of loops).</t>
  </si>
  <si>
    <t>Major component</t>
  </si>
  <si>
    <t>Education and training; Limitations and research gaps; Model-driven / visual programming roots</t>
  </si>
  <si>
    <t>Towards No-Code Programming of Cobots: Experiments with Code Synthesis by Large Code Models for Conversational Programming Chalamalasetti Kranti1,*, Sherzod Hakimov 1 and David Schlangen 1,2 1Computational Linguistics, Department of Linguistics, University of Potsdam, Germany 2German Research Center for Artificial Intelligence (DFKI), Berlin, Germany Abstract While there has been a lot of research recently on robots in household environments, at the present time, most robots in existence can....</t>
  </si>
  <si>
    <t>ROBO-INSTRUCT [47] is a framework focused on synthetic robot program generation useful for finetuning open-weight LLMs.</t>
  </si>
  <si>
    <t>cobots</t>
  </si>
  <si>
    <t>While these studies demonstrate the ability of LLMs to generate and complete code, they predominantly target users familiar with programming concepts and terminologies.</t>
  </si>
  <si>
    <t>We create a dataset that pairs target structures with various example instructions (human-authored, template-based, and model-generated) and example code.</t>
  </si>
  <si>
    <t>Out of all the possible boards available (see Table 1), these samples were randomly selected.</t>
  </si>
  <si>
    <t>Numerous studies have utilized these datasets to explore the capabilities of LLMs, as surveyed by [ 31, 32, 33].</t>
  </si>
  <si>
    <t>CodeLlama-34B had location-related errors in 89% of template-based and 95% of human-written instructions, causing depth mismatches and incorrect placements. | GPT-4 and Claude-3 also had locationrelated errors, with all errors in GPT-4 and 95% in Claude-3 due to incorrect locations. | Claude-3 often hallucinated, with about 79% of errors linked to this problem. | CodeLlama had about 92% of errors resulting from failure to consider overlaps.</t>
  </si>
  <si>
    <t>With this, we systematically evaluate the capabilities of state-of-the-art LLMs for synthesising this kind of code, given in-context examples.</t>
  </si>
  <si>
    <t>Towards No-Code Programming of Cobots: Experiments with Code Synthesis by Large Code Models for Conversational Programming Chalamalasetti Kranti1,*, Sherzod Hakimov 1 and David Schlangen 1,2 1Computational Linguistics, Department of Linguistics, University of Potsdam, Germany 2German Research Center for Artificial Intelligence (DFKI), Berlin, Germany Abstract While there has been a lot of research recently on robots in household environments, at the present time, most robots in existence can... | As a first step, we define SARTCo, the “ Spatial Arrangement and Reconstruction Tasks for Cobots ”, a 2.5D structure building task designed to lay the foundation for simulating industry assembly scenarios. | While historically methods have relied on domain-specific model training and learning by demonstration, these techniques often fall short due to their extensive data needs and inability to handle complex instructions [4, 5, 6, 7].</t>
  </si>
  <si>
    <t>Evaluation Metrics Compared to program synthesis and machine translation, our proposed task benefits from a known target configuration (i.e., a fully specified intended semantics), enabling a more nuanced evaluation of the generated output. | Results and Analysis As discussed in Section 5, we investigate, how well LLMs benefit from in-context learning.</t>
  </si>
  <si>
    <t>To address these limitations, we explore using Large Language Models (LLMs), and in particular, their abilities of doing in-context learning, for conversational code generation. | Evaluating in a simulated environment, we find that LLMs are capable of generating accurate ‘first order code’ (instruction sequences), but have problems producing ‘higher-order code’ (abstractions such as functions, or use of loops).</t>
  </si>
  <si>
    <t>On the other hand, LLMs have shown promising performance in abstract spatial tasks [38, 39] in 2D controlled environment, highlighting their abstraction, reasoning and execution capabilities.</t>
  </si>
  <si>
    <t>To this end, we developed a rapid prototyping simulator environment that evaluates these LLMs using specific input instructions, simulate their execution, and analyzes the output.</t>
  </si>
  <si>
    <t>(iii) Function Compositionality (higher-order code) Figure 5:Illustration of prompt for evaluating property and function compositionality.Left: first-order code examples with varied component properties (name, color, location) for property compositionality testing.Middle: the construction of higher-order functions from first-order code snippets for function compositionality evaluation.</t>
  </si>
  <si>
    <t>While historically methods have relied on domain-specific model training and learning by demonstration, these techniques often fall short due to their extensive data needs and inability to handle complex instructions [4, 5, 6, 7].</t>
  </si>
  <si>
    <t>Towards No-Code Programming of Cobots: Experiments with Code Synthesis by Large Code Models for Conversational Programming Chalamalasetti Kranti1,*, Sherzod Hakimov 1 and David Schlangen 1,2 1Computational Linguistics, Department of Linguistics, University of Potsdam, Germany 2German Research Center for Artificial Intelligence (DFKI), Berlin, Germany Abstract While there has been a lot of research recently on robots in household environments, at the present time, most robots in existence can be found on shop floors, and most interactions bet...</t>
  </si>
  <si>
    <t>Evaluating in a simulated environment, we find that LLMs are capable of generating accurate ‘first order code’ (instruction sequences), but have problems producing ‘higher-order code’ (abstractions such as functions, or use of loops).</t>
  </si>
  <si>
    <t>Towards No-Code Programming of Cobots: Experiments with Code Synthesis by Large Code Models for Conversational Programming Chalamalasetti Kranti1,*, Sherzod Hakimov 1 and David Schlangen 1,2 1Computational Linguistics, Department of Linguistics, University of Potsdam, Germany 2German Research Center for Artificial Intelligence (DFKI), Berlin, Germany Abstract While there has been a lot of research recently on robots in household environments, at the present time, most robots in existence can be found on shop floors, and most interactions between humans and robots happen there. “Collaborative robots” (cobots) designed to work alongside humans on assembly lines traditionally require expert programming, limiting ability to make changes, or manual guidance, limiting expressivity of the resulting programs.</t>
  </si>
  <si>
    <t>PDF text extracted from 37 pages; sample evidence page: Not reported.</t>
  </si>
  <si>
    <t>, we explore using Large Language Models (LLMs), and in particular, their abilities of doing in-context learning, for conversational code generation. As a first step, we define SARTCo, the “ Spatial Arrangement and Reconstruction Tasks for Cobots ”, a 2.5D structure building task designed to lay the foundation for simulating industry assembly scenarios. In this task, a ‘programmer’ instructs a cobot, using natural language, on how a certain assembly is to be built; that is, the programmer induces a program, through natural language. We create a dataset that pairs target structures with various example instructions (human-authored, template-based, and model-generated) and example code. With this, we systematically evaluate the capabilities of state-of-the-art LLMs for synthesising this kind of code, given in-context examples. Evaluating in a simulated environment, we find that LLMs are capable of generating accurate ‘first order code’ (instruction sequences), but have problems producing ‘higher-order code’ (abstractions such as functions, or use of loops). Keywords Program Synthesis, Cobots, Repetitive Assembly Tasks 1. Introduction Collaborative robots (cobots), designed to work safely alongside humans, have traditionally required expert programming [ 1, 2], hindering wider accessibility for novice workers. To bridge this gap, conversational programming is emerging as a poss...</t>
  </si>
  <si>
    <t>, we plan to expand the setup to handle more complex sequence arrangements added with dialogue management. Additionally, we will explore fine-tuning the code generation LLMs to see if it improves their overall performance. Though LLMs have shown promising performance for the 2.5D building task, there are limitations. The seeds for target board generation focus only on simple objects; we plan to include complex objects to better assess capabilities. The template-based instructions were designed to be clear and unambiguous, establishing a performance baseline. Future work will include environmental variability, collaborative scenarios, and dialogue management to enhance real-world simulation. Despite careful prompt curation, models sometimes produce hallucinations. Refining prompts based on feedback from execution errors can help. Instruction-tuned LLMs for code generation may struggle with multi-turn conversations, and applying this work to real-world assembly tasks will require adhe...</t>
  </si>
  <si>
    <t>Yes - supporting</t>
  </si>
  <si>
    <t>with Code Synthesis by Large Code Models for; Conversational Programming; Chalamalasetti Kranti1,*, Sherzod Hakimov 1 and David Schlangen 1,2 (2005). Towards No-Code Programming of Cobots: Experiments with Code Synthesis by Large Code Models for Conversational Programming. 1st Workshop on Interactive Task Learning in Human-Robot co-construction (ITL4HRI) | IEEE RO-MAN 2025: International; Conference on Robot and Human Interactive Communication 2025, August 25-29, 2025, Eindhoven, Netherlands.</t>
  </si>
  <si>
    <t>P037</t>
  </si>
  <si>
    <t>37.asanAI.pdf</t>
  </si>
  <si>
    <t>research paper\37.asanAI.pdf</t>
  </si>
  <si>
    <t>asanAI: In-Browser, No-Code, Offline-First Machine Learning Toolkit Norman Koch1,2, Siavash Ghiasvand1,2 Machine learning (ML) has become crucial in modern</t>
  </si>
  <si>
    <t>Norman Koch1,2, Siavash Ghiasvand1,2</t>
  </si>
  <si>
    <t>Machine learning (ML) has become crucial in modern life, with growing interest from researchers and the public. Despite its potential, a significant entry barrier prevents widespread adoption, making it challenging for non-experts to understand and implement ML techniques. The increasing desire to leverage ML is counterbalanced by its technical complexity, creating a gap between potential and practical application. This work introduces asanAI, an offline-first, open-source, no-code machine learning toolkit designed for users of all skill levels. It allows individuals to design, debug, train, and test ML models directly in a web browser, eliminating the need for software installations and coding. The toolkit runs on any device with a modern web browser, including smartphones, and ensures user privacy through local computations while utilizing WebGL for enhanced GPU performance. Users can quickly experiment with neural networks and train custom models using various data sources, supported by intuitive visualizations of network structures and data flows. asanAI simplifies the teaching of ML concepts in educational settings and is released under an opensource MIT license, encouraging modifications. It also supports exporting models in industry-ready formats, empowering a diverse range of users to effectively learn and apply machine learning in their projects. The proposed toolkit is successfully utilized by researchers of ScaDS.AI to swiftly draft and test machine learning ideas, by trainers to effectively educate enthusiasts, and by teachers to introduce contemporary ML top...</t>
  </si>
  <si>
    <t>Education and training</t>
  </si>
  <si>
    <t>Usability and user experience; Platform comparison; AI and automation</t>
  </si>
  <si>
    <t>All settings, configurations, and design elements are accessible through touch gestures or a mouse pointer, making the proposed toolkit particularly suitable for beginners who are more accustomed to touchscreen interfaces, such as those found on mobile devices. asanAI supports various import functions and allows trained models to be exported into widely accepted formats to ensure compatibility and interoperability. | The Introductory mode streamlines the interface by hiding all configurations...</t>
  </si>
  <si>
    <t>To address this challenge and pave the way Copyright © 2025 . for democratizing Machine Learning, asanAI1, a no-code, browser-based, offline-first, and user-friendly ML toolkit is introduced. asanAI enables users without prior programming knowledge to design, debug, train, test, and understand machine learning models. asanAI is accessible on any device with a JavaScriptenabled modern browser, including tablets and smartphones.</t>
  </si>
  <si>
    <t>It also facilitates a smoother transition to programming-based ML frameworks via automatic generation of programming codes, bridging the gap between no-code environments and professional ML development.</t>
  </si>
  <si>
    <t>This work introduces asanAI, an offline-first, open-source, no-code machine learning toolkit designed for users of all skill levels.</t>
  </si>
  <si>
    <t>asanAI</t>
  </si>
  <si>
    <t>Users can quickly experiment with neural networks and train custom models using various data sources, supported by intuitive visualizations of network structures and data flows. asanAI simplifies the teaching of ML concepts in educational settings and is released under an opensource MIT license, encouraging modifications.</t>
  </si>
  <si>
    <t>All settings, configurations, and design elements are accessible through touch gestures or a mouse pointer, making the proposed toolkit particularly suitable for beginners who are more accustomed to touchscreen interfaces, such as those found on mobile devices. asanAI supports various import functions and allows trained models to be exported into widely accepted formats to ensure compatibility and interoperability.</t>
  </si>
  <si>
    <t>asanAI: In-Browser, No-Code, Offline-First Machine Learning Toolkit Norman Koch1,2, Siavash Ghiasvand1,2 1Center for Interdisciplinary Digital Sciences (CIDS), Technische Universit¨at Dresden, Germany 2Center for Scalable Data Analytics and Artificial Intelligence (ScaDS.AI) Dresden/Leipzig.</t>
  </si>
  <si>
    <t>It allows individuals to design, debug, train, and test ML models directly in a web browser, eliminating the need for software installations and coding.</t>
  </si>
  <si>
    <t>All settings, configurations, and design elements are accessible through touch gestures or a mouse pointer, making the proposed toolkit particularly suitable for beginners who are more accustomed to touchscreen interfaces, such as those found on mobile devices. asanAI supports various import functions and allows trained models to be exported into widely accepted formats to ensure compatibility and interoperability. | The Introductory mode streamlines the interface by hiding all configurations and instead provides a thorough explanation of machine learning, including a brief demonstration of an image classification model.</t>
  </si>
  <si>
    <t>It also supports exporting models in industry-ready formats, empowering a diverse range of users to effectively learn and apply machine learning in their projects. | When possible, asanAI uses WebGL hardware acceleration to perform calculations on the local GPU for improved performance.</t>
  </si>
  <si>
    <t>Despite its potential, a significant entry barrier prevents widespread adoption, making it challenging for non-experts to understand and implement ML techniques. | As it transforms our world, many people want to understand its basic principles, potential, and limitations.</t>
  </si>
  <si>
    <t>The toolkit runs on any device with a modern web browser, including smartphones, and ensures user privacy through local computations while utilizing WebGL for enhanced GPU performance.</t>
  </si>
  <si>
    <t>Additionally, they often lack the fine-grained control offered by traditional programming approaches.</t>
  </si>
  <si>
    <t>2019) has accelerated in recent years to make machine learning more accessible to nonexperts, aiming to enable faster experimentation and learning of machine learning concepts without requiring programming skills.</t>
  </si>
  <si>
    <t>Design Concepts The primary objective of this work is to develop a machine learning toolkit that is accessible to a broad audience, aiming to (1) educate users on neural network principles, (2) lower entry barriers for novices, and (3) simplify the design, training, and testing processes of various machine learning models for advanced users.</t>
  </si>
  <si>
    <t>Finally, the Help button provides access to documentation, interactive tutorials, and other resources, ensuring users can find the information they need to make the most of the platform’s features.</t>
  </si>
  <si>
    <t>Although their usage is straightforward, users are limited to the existing use cases and models available in these tools.</t>
  </si>
  <si>
    <t>The contrast between accessibility and practicality creates both opportunities and challenges in the rapidly changing field of machine learning education and application development.</t>
  </si>
  <si>
    <t>The subsequent section discusses the functionality and usability aspects of asanAI, followed by explanation of the key factors considered during the implementation of the toolkit.</t>
  </si>
  <si>
    <t>PDF text extracted from 7 pages; sample evidence page: Not reported.</t>
  </si>
  <si>
    <t>. Given its widespread presence, having some basic knowledge of machine learning is increasingly beneficial. While courses on machine learning and artificial intelligence are now part of many school curriculums, the rapid advancements in AI outpace traditional educational tools. Consequently, there is an urgent need to develop educational toolkits to support programs that teach ML concepts to the next generation. To address this challenge and pave the way Copyright © 2025 . for democratizing Machine Learning, asanAI1, a no-code, browser-based, offline-first, and user-friendly ML toolkit is introduced. asanAI enables users without prior programming knowledge to design, debug, train, test, and understand machine learning models. asanAI is accessible on any device with a JavaScriptenabled modern browser, including tablets and smartphones. While existing machine learning toolkits often have high entry barriers and requirements such as familiarity with programming languages, complex installations, or reliable internet connection, asanAI focuses on removing these obstacles and allows a diverse spectrum of users to explore machine learning models without prior requirements simply via a web address 2. All settings, configurations, and design elements are accessible through touch gestures or a mouse pointer, making the proposed toolkit particularly suitable for beginners who are more...</t>
  </si>
  <si>
    <t>Conclusion and Future Works asanAI presents a significant step towards democratizing education and access to machine learning.</t>
  </si>
  <si>
    <t>The increasing desire to leverage ML is counterbalanced by its technical complexity, creating a gap between potential and practical application.</t>
  </si>
  <si>
    <t>Norman Koch1,2, Siavash Ghiasvand1,2 (2025). asanAI: In-Browser, No-Code, Offline-First Machine Learning Toolkit Norman Koch1,2, Siavash Ghiasvand1,2 Machine learning (ML) has become crucial in modern.</t>
  </si>
  <si>
    <t>P038</t>
  </si>
  <si>
    <t>38.A Low Code Development Platform for AI Applications in Industry.pdf</t>
  </si>
  <si>
    <t>research paper\38.A Low Code Development Platform for AI Applications in Industry.pdf</t>
  </si>
  <si>
    <t>10.1145/3721146.3721958</t>
  </si>
  <si>
    <t>Diagnosing and Resolving Cloud Platform Instability with Multi-modal RAG LLMs</t>
  </si>
  <si>
    <t>Multi-modal RAG LLMs; Yifan Wang; Kenneth P. Birman</t>
  </si>
  <si>
    <t>arXiv:2505.21419v2 [cs.AI] 28 May 2025; ACM Reference Format:; Platform Instability with Multi-modal RAG LLMs. In The 5th Workshop</t>
  </si>
  <si>
    <t>Root cause analysis, RAG LLM, AI-Ops ACM Reference Format: Yifan Wang and Kenneth P. Birman. 2025. Diagnosing and Resolving Cloud Platform Instability with Multi-modal RAG LLMs. In The 5th Workshop on Machine Learning and Systems (EuroMLSys ’25), March 30-April 3, 2025, Rotterdam, Netherlands. ACM, New York, NY, USA, 8 pages. https://doi.org/ 10.11</t>
  </si>
  <si>
    <t>Today’s cloud-hosted applications and services are complex systems, and a performance or functional instability can have dozens or hundreds of potential root causes. Our hypothesis is that by combining the pattern matching capabilities of modern AI tools with a natural multi-modal RAG LLM interface, problem identification and resolution can be simplified. ARCA is a new multi-modal RAG LLM system that targets this domain. Step-wise evaluations show that ARCA outperforms state-of-the-art alternatives. CCS CONCEPTS • Software and its engineering → System administration ; •Information systems → Information retrieval; •Computing methodologies → Knowledge representation and reasoning.</t>
  </si>
  <si>
    <t>Platform comparison; Education and training; Cost and business value</t>
  </si>
  <si>
    <t>Step-wise evaluations show that ARCA outperforms state-of-the-art alternatives. | If the underlying data distribution shifts, for example after a hardware upgrade, the performance of threshold-based incident detection tool is often found to degrade. | The basic idea is to focus on recurrent incidents, looking for similar past problems, summarizing prior findings, and recommending mitigation strategies that succeeded in the past.</t>
  </si>
  <si>
    <t>DevOps</t>
  </si>
  <si>
    <t>As a result, users of today’s solutions complain about frequent forced code changes and the need for periodic model retraining.</t>
  </si>
  <si>
    <t>Our hypothesis is that by combining the pattern matching capabilities of modern AI tools with a natural multi-modal RAG LLM interface, problem identification and resolution can be simplified. | Accordingly, we only use one tenth of our prior report candidates for generation of the bug explanation hypotheses</t>
  </si>
  <si>
    <t>Even if we limit ourselves to a single data mode, existing AIOps solutions turn out to have limitations (such as weak support for events characterized by evolution of a problem over time, and hence recognizable only from a series of log records), and also struggle to adapt to changes in their operating environment.</t>
  </si>
  <si>
    <t>Our hypothesis is that by combining the pattern matching capabilities of modern AI tools with a natural multi-modal RAG LLM interface, problem identification and resolution can be simplified.</t>
  </si>
  <si>
    <t>In the evaluation, ARCA achieves 92% accuracy in triage and 72% accuracy in finding the correct mitigation plan. | We have tried to retrieve from top 100 bugs to top 500 bugs and we can reach a triage success rate as high as 92%. | In our test, we increase the log similarity search output size from 100 to 400, and we filter out 20% of the chosen bugs in the similarity search using telemetric data.</t>
  </si>
  <si>
    <t>Step-wise evaluations show that ARCA outperforms state-of-the-art alternatives.</t>
  </si>
  <si>
    <t>(1) Detection, which includes the detection or prediction of an impending problem; (2) Triage: categorizing severity and assigning the task to a Site Reliability Engineering (SRE) team; (3) Diagnosis: collecting more data and pinpointing the root cause; (4)Mitigation: Formulating and carrying out a response and disabling any extra instrumentation that was activated.</t>
  </si>
  <si>
    <t>RAG is effective for question answering [9], summarization [ 10], and code generation [ 16], and has been shown to significantly improve LLM performance and interpretability. | This has been shown to improve LLM performance on tasks requiring multi-step logical inference, arithmetic, or complex decision-making.</t>
  </si>
  <si>
    <t>Our hypothesis is that by combining the pattern matching capabilities of modern AI tools with a natural multi-modal RAG LLM interface, problem identification and resolution can be simplified. | (1) Detection, which includes the detection or prediction of an impending problem; (2) Triage: categorizing severity and assigning the task to a Site Reliability Engineering (SRE) team; (3) Diagnosis: collecting more data and pinpointing the root cause; (4)Mitigation: Formulating and carrying out a response and disabling any extra instrumentation that was activated.</t>
  </si>
  <si>
    <t>We are not considering direct intervention by ARCA at this time, in part because some privileged commands (like restarting critical services) require privilage escalation and should not occur without close scrutiny and Dev-Ops (human) approval.</t>
  </si>
  <si>
    <t>Birman ken@cs.cornell.edu Computer Science Department, Cornell University Ithaca, NY, USA ABSTRACT Today’s cloud-hosted applications and services are complex systems, and a performance or functional instability can have dozens or hundreds of potential root causes. | The logs we consider are created by a variety of applications and systems services, and take the form of text files in which system maintenance messages, warnings and errors, anomaly notations,</t>
  </si>
  <si>
    <t>Calculating cosine similarity only involves calculating the product of two matrices, which can be carried out at very high speeds, particularly with the help of a GPU.</t>
  </si>
  <si>
    <t>Then we build ARCA’s knowledge base using 700 bug tickets, saving 100 to use when testing the PoC’s performance.</t>
  </si>
  <si>
    <t>The task is challenging for several reasons: multi-modal language models are still in an a very early stage, and there is a lack of a significant lack of high-quality training data sets for our setting.</t>
  </si>
  <si>
    <t>arXiv:2505.21419v2 [cs.AI] 28 May 2025 Diagnosing and Resolving Cloud Platform Instability with Multi-modal RAG LLMs Yifan Wang wangyifan@cs.cornell.edu Computer Science Department, Cornell University Ithaca, NY, USA Kenneth P.</t>
  </si>
  <si>
    <t>Here, an issue of cost arises: our work uses OpenAI language-generation APIs that are billed on a per-use basis.</t>
  </si>
  <si>
    <t>But this issue is also seen with less widely used data sets.</t>
  </si>
  <si>
    <t>Data Modes Accuracy Cost (cents) Time (s) Telemetric Data Only 0.34 2.81 4.67 Log Only 0.72 2.31 4.16 Telemetric Data + Log 0.74 2.89 4.89 Table 1: Comparison of the efficacy via utilizing different modes of data.</t>
  </si>
  <si>
    <t>(such as weak support for events characterized by evolution of a problem over time, and hence recognizable only from a series of log records), and also struggle to adapt to changes in their operating environment. If the underlying data distribution shifts, for example after a hardware upgrade, the performance of threshold-based incident detection tool is often found to degrade. Upgrades often result in logging new information, yet small modifications in the log formatting can defeat log analytics implemented with regular expressions. As a result, users of today’s solutions complain about frequent forced code changes and the need for periodic model retraining. Beyond these technical limitations, today’s AI-Ops tools are often proprietary and forbiddingly expensive. DevOps teams at cloud computing companies with vast GPU deployments can train new models, but this is out of the question for smaller companies. ARCA is an AI for Root Cause Analysis based on a multimodal RAG (Retrieval-Augmented Generation) approach, in which an LLM is augmented by a database. Many RAG systems are limited to approximate search in document or image collections, but ARCA also supports data in structured (tabular) collections and logs. The basic idea is to focus on recurrent incidents, looking for similar past problems, summarizing prior findings, and recommending mitigation strategies that succeeded...</t>
  </si>
  <si>
    <t>ARCA is a work in progress, but already confirms the promise of the multimodal RAG LLM approach to searching the complicated incident report databases that arise when troubleshooting cloud-hosted applications. In work still underway, we are investigating other possible ways to organize the ARCA knowledge base, including the option of using similarity search algorithms beyond the form of cosine similarity used in the ANN step. We expect that this will be needed as we expand the data modality coverage of the ARCA platform to include performance metrics and traces. Synthesis of generated answers that incorporate observations from multiple modalities raises especially interesting questions for study.</t>
  </si>
  <si>
    <t>Multi-modal RAG LLMs; Yifan Wang; Kenneth P. Birman (2023). Diagnosing and Resolving Cloud Platform Instability with Multi-modal RAG LLMs. arXiv:2505.21419v2 [cs.AI] 28 May 2025; ACM Reference Format:; Platform Instability with Multi-modal RAG LLMs. In The 5th Workshop.</t>
  </si>
  <si>
    <t>https://doi.org/10.1145/3721146.3721958</t>
  </si>
  <si>
    <t>P039</t>
  </si>
  <si>
    <t>39.AI for Low-Code for AI.pdf</t>
  </si>
  <si>
    <t>research paper\39.AI for Low-Code for AI.pdf</t>
  </si>
  <si>
    <t>10.1145/3640543.3645203</t>
  </si>
  <si>
    <t>AI for Low-Code for AI</t>
  </si>
  <si>
    <t>Nikitha Rao; United States; Jason Tsay; United States</t>
  </si>
  <si>
    <t>ACM Reference Format:; Hirzel. 2024. AI for Low-Code for AI. In 29th International Conference on; ACM, New York, NY, USA, 16 pages. https://doi.org/10.1145/3640543.3645203</t>
  </si>
  <si>
    <t>Low-code programming allows citizen developers to create programs with minimal coding effort, typically via visual (e.g. drag-anddrop) interfaces. In parallel, recent AI-powered tools such as Copilot and ChatGPT generate programs from natural language instructions. We argue that these modalities are complementary: tools like ChatGPT greatly reduce the need to memorize large APIs but still require their users to read (and modify) textual programs, whereas visual tools abstract away most or all program text but struggle to provide easy access to large APIs. At their intersection, we propose LowCoder, the first low-code tool for developing AI pipelines that supports both a visual programming interface (LowCoderVP) and an AI-powered natural language interface (LowCoderNL). We leverage this tool to provide some of the first insights into whether and how these two modalities help programmers by conducting a user study. We task 20 developers with varying levels of AI expertise with implementing four ML pipelines using LowCoder, replacing the LowCoderNL component with a simple</t>
  </si>
  <si>
    <t>AI and automation; Model-driven / visual programming roots; Citizen development</t>
  </si>
  <si>
    <t>While we prototyped LowCoder specifically for sklearn pipelines, we hope the general findings will help improve low-code tooling for other API libraries as well. | In a similar vein, Rousillon combines visual programming with programming by demonstration [9] and Pumice combines programming by demonstration with PBNL [23]. | Vaithilingam et al. had developers use GitHub Copilot on three programming tasks and found that while neither task success rate nor completion time improved while using Co...</t>
  </si>
  <si>
    <t>Hellendoorn vhellendoorn@cmu.edu Carnegie Mellon University United States Martin Hirzel hirzel@us.ibm.com IBM Research United States ABSTRACT Low-code programming allows citizen developers to create programs with minimal coding effort, typically via visual (e.g. drag-anddrop) interfaces.</t>
  </si>
  <si>
    <t>We collect and analyze data to investigate the following research questions: RQ1: How do LowCoderNL and other features help participants discover previously-unknown operators? | RQ2: Are participants able to compose and then iteratively refine AI pipelines in our tool? | RQ3: What are the benefits and challenges of integrating language models with visual programming for low-code?</t>
  </si>
  <si>
    <t>Overall, we find that LowCoder is especially useful for (i) Discoverability: using LowCoderNL, participants discovered new operators in 75% of the tasks, compared to just 32.5% and 27.5% using web search or scrolling through options respectively in the keyword-search condition, and (ii) Iterative Composition: 82.5% of tasks were successfully completed and many initial pipelines were further successfully improved.</t>
  </si>
  <si>
    <t>We task 20 developers with varying levels of AI expertise with implementing four ML pipelines using LowCoder, replacing the LowCoderNL component with a simple keyword search in half the tasks.</t>
  </si>
  <si>
    <t>While visual programming helps users navigate complex pipelines, it poorly supportsdiscoverability of API components in large APIs due to the large range of options and limited screen space [27].</t>
  </si>
  <si>
    <t>In parallel, recent AI-powered tools such as Copilot and ChatGPT generate programs from natural language instructions.</t>
  </si>
  <si>
    <t>Overall, we find that LowCoder is especially useful for (i) Discoverability: using LowCoderNL, participants discovered new operators in 75% of the tasks, compared to just 32.5% and 27.5% using web search or scrolling through options respectively in the keyword-search condition, and (ii) Iterative Composition: 82.5% of tasks were successfully com... | We conduct a user study with 20 participants with varying levels of AI expertise using LowCoder to complete four tasks, half of which with the help of the AI-powered component LowCoderNL. | Overall, the combination of visual programming along with the natural language interface helped both novice and non-novice users to successfully compose pipelines (85% of tasks) and then further refine their pipelines (72.5% of tasks) when using LowCoderNL. | Additionally, LowCoderNL helped users discover previously-unknown operators in 75% of the tasks compared to just 32.5% using other methods like web search when LowCoderNL was not available.</t>
  </si>
  <si>
    <t>Threats to Validity: The user study for LowCoder has several limitations.</t>
  </si>
  <si>
    <t>While we prototyped LowCoder specifically for sklearn pipelines, we hope the general findings will help improve low-code tooling for other API libraries as well. | In a similar vein, Rousillon combines visual programming with programming by demonstration [9] and Pumice combines programming by demonstration with PBNL [23]. | Vaithilingam et al. had developers use GitHub Copilot on three programming tasks and found that while neither task success rate nor completion time improved while using Copilot, developers preferred using it compared to the standard code completion [35].</t>
  </si>
  <si>
    <t>We argue that these modalities are complementary: tools like ChatGPT greatly reduce the need to memorize large APIs but still require their users to read (and modify) textual programs, whereas visual tools abstract away most or all program text but struggle to provide easy access to large APIs. | Overall, we find that LowCoder is especially useful for (i) Discoverability: using LowCoderNL, participants discovered new operators in 75% of the tasks, compared to just 32.5% and 27.5% using web search or scrolling through options respectively in the keyword-search condition, and (ii) Iterative Composition: 82.5% of tasks were successfully completed and many initial pipelines were further successfully improved.</t>
  </si>
  <si>
    <t>However, these tools still generate code, which can be complicated and hard to understand [35], especially without formal training in programming. | Our goal is to help people who know what they want to accomplish (e.g., build an AI pipeline) but face syntactic barriers from the programming language and library (the how part), perhaps due to a lack of formal programming training.</t>
  </si>
  <si>
    <t>These tools tend to have a black-box approach where the user has little control over the AutoML search and may not even see the resulting pipeline.</t>
  </si>
  <si>
    <t>We find that the hybrid formulation of the operation invocation task, while challenging, is indeed feasible and allowed the model to achieve reasonably strong performance when generating the entire operation invocation statement.</t>
  </si>
  <si>
    <t>The 0.22B parameter fine-tuned CodeT5 model has comparable performance, but its inference time is approximately 2-3 seconds faster than the 0.77B fine-tuned CodeT5 model, making it more desirable for integration with the tool.</t>
  </si>
  <si>
    <t>Similarly, Xu et al. had developers perform several programming tasks with and without the use of a natural language to code generation model and found no significant differences with regards to code quality, task completion time and program correctness [43].</t>
  </si>
  <si>
    <t>Needing to remember hundreds of AI operators and their arguments slows down even professional developers.</t>
  </si>
  <si>
    <t>Unfortunately, writing code, even in a language as high-level as Python, is hard for citizen developers [22]-people who lack formal training in programming but nevertheless write programs as part of their everyday work.</t>
  </si>
  <si>
    <t>AI for Low-Code for AI Nikitha Rao nikitharao@cmu.edu Carnegie Mellon University United States Jason Tsay jason.tsay@ibm.com IBM Research United States Kiran Kate kakate@us.ibm.com IBM Research United States Vincent J.</t>
  </si>
  <si>
    <t>Participants were allowed to use external resources such as web search engines or documentation pages.</t>
  </si>
  <si>
    <t>We argue that these modalities are complementary: tools like ChatGPT greatly reduce the need to memorize large APIs but still require their users to read (and modify) textual programs, whereas visual tools abstract away most or all program text but struggle to provide easy access to large APIs.</t>
  </si>
  <si>
    <t>In comparison, visual inputs and representations are unambiguous [20], requiring no probabilistic interpretation, so users can easily understand and manipulate the results returned by LowCoderNL.</t>
  </si>
  <si>
    <t>PDF text extracted from 16 pages; sample evidence page: p. 1.</t>
  </si>
  <si>
    <t>of using the combination in low-code programming. We accomplish this by implementing and studying LowCoder, a prototype low-code tool for building ML pipelines with sklearn operators for tabular data that includes both visual programming (VP) and natural language (NL) modalities, which complement each other by mitigating the limitations of either modality separately. Building this tool provided us with the opportunity to examine the impact of both modalities on users. Figure 2 highlights the main features and inputs of LowCoder. To support multiple low-code modalities, we follow the lead of projectional code editors [ 38] by adopting the model-viewcontroller pattern. Specifically, we treat visual programming as a read-write view, PBNL as a write-only view, and let users inspect data in a read-only view [ 20]. The tool keeps these three views in sync by representing the program in a domain-specific language (DSL). The domain for the DSL is AI pipelines. A corresponding, practical desideratum is that the DSL is compatible with sklearn [28], the most popular library for building AI pipelines, and is a subset of the Python language, in which sklearn is implemented, which also enables us to use AI models pretrained on Python code. The open-source Lale library [4] satisfies these requirements, and in addition, describes hyper-parameters in JSON schema format [29], which our tool a...</t>
  </si>
  <si>
    <t>A corresponding, practical desideratum is that the DSL is compatible with sklearn [28], the most popular library for building AI pipelines, and is a subset of the Python language, in which sklearn is implemented, which also enables us to use AI models pretrained on Python code.</t>
  </si>
  <si>
    <t>Nikitha Rao; United States; Jason Tsay; United States (2024). AI for Low-Code for AI. ACM Reference Format:; Hirzel. 2024. AI for Low-Code for AI. In 29th International Conference on; ACM, New York, NY, USA, 16 pages. https://doi.org/10.1145/3640543.3645203.</t>
  </si>
  <si>
    <t>https://doi.org/10.1145/3640543.3645203</t>
  </si>
  <si>
    <t>P040</t>
  </si>
  <si>
    <t>40.Implementing Multimodal Large Language Model-Powered Multi-Agent Systems Using a No-Code Platform.pdf</t>
  </si>
  <si>
    <t>research paper\40.Implementing Multimodal Large Language Model-Powered Multi-Agent Systems Using a No-Code Platform.pdf</t>
  </si>
  <si>
    <t>2025.01 Beyond Text: Implementing Multimodal Large Language Model-Powered Multi-Agent Systems Using a No-Code Platform</t>
  </si>
  <si>
    <t>Beyond Text: Implementing Multimodal Large Language Model-Powered; Multi-Agent Systems Using a No-Code Platform; Cheonsu Jeong1,*; 1Department of AI Automation, SAMSUNG SDS, Seoul, South Korea</t>
  </si>
  <si>
    <t>2019</t>
  </si>
  <si>
    <t>Multi-Agent, Multimodal LLM, Advanced RAG, Generative AI, Multimodal Generation, No-Code Platform 1.</t>
  </si>
  <si>
    <t>Platform comparison; Enterprise adoption; Integration</t>
  </si>
  <si>
    <t>Objective: This research presents the design and implementation of a multimodal LLM -based Multi - Agent System (MAS) using a No -Code platform, aiming to address the practical challenges of AI adoption in enterprises and demonstrate its effectiveness in automating comp lex business processes. | Results: The system demonstrated excellent performance in automating business processes. | Multimodal AI models, such as OpenAI's GPT -4V and GPT -4o, demonstrate the capability to integratively proce...</t>
  </si>
  <si>
    <t>1 2025.01 Beyond Text: Implementing Multimodal Large Language Model-Powered Multi-Agent Systems Using a No-Code Platform Cheonsu Jeong1,* 1Department of AI Automation, SAMSUNG SDS, Seoul, South Korea This study proposes the design and implementation of a multimodal LLM -based Multi-Agent System (MAS) using a No-Code platform to address the practical constraints and significant entry barriers in the process of AI technology adoption within enterprises.</t>
  </si>
  <si>
    <t>The multimodal LLM-based MAS framework contributes to lowering AI adoption barriers, promoting its widespread use across various industries .</t>
  </si>
  <si>
    <t>Conclusion: The research shows that No -Code platforms can democratize AI technology by enabling general users, not just specialists, to utilize AI for enhancing productivity and efficiency.</t>
  </si>
  <si>
    <t>Additionally, generative AI technologies based on extensive datasets have made it easier for users to access services that generate new content such as text, images, audio, and video [1], [6].</t>
  </si>
  <si>
    <t>This section compares three major No-Code platforms with unique characteristics and provides objective criteria fo r selecting an implementation platform.</t>
  </si>
  <si>
    <t>No -Code development environments enhance th e accessibility of AI technologies across organizations, enabling not only developers but also non -technical users to leverage AI tools [9].</t>
  </si>
  <si>
    <t>According to a report by the Korea Copyright Commission, it is projected that by 2025, approximately 70% of all applications will be developed using Low -Code or NoCode platforms, highlighting the growth potential of this approach.</t>
  </si>
  <si>
    <t>The system's performance is evaluated through various business application scenarios.</t>
  </si>
  <si>
    <t>To address these limitations, various solutions have been explored, including domain-specific fine-tuning of LLMs and utilizing internal knowledge to improve reliability through Retrieval-Augmented Generation (RAG) techniques [5].</t>
  </si>
  <si>
    <t>Objective: This research presents the design and implementation of a multimodal LLM -based Multi - Agent System (MAS) using a No -Code platform, aiming to address the practical challenges of AI adoption in enterprises and demonstrate its effectiveness in automating comp lex business processes. | Results: The system demonstrated excellent performance in automating business processes. | Multimodal AI models, such as OpenAI's GPT -4V and GPT -4o, demonstrate the capability to integratively process various forms of data, including text, images, and audio [7].</t>
  </si>
  <si>
    <t>Methods: The proposed system is designed to process multimodal inputs such as text and images, automate tasks through specialized agents, and reduce the technical burden of AI adoption. | The efficiency of code generation was improved, document search accuracy was enhanced, and image generation time was reduced.</t>
  </si>
  <si>
    <t>1 2025.01 Beyond Text: Implementing Multimodal Large Language Model-Powered Multi-Agent Systems Using a No-Code Platform Cheonsu Jeong1,* 1Department of AI Automation, SAMSUNG SDS, Seoul, South Korea This study proposes the design and implementation of a multimodal LLM -based Multi-Agent System (MAS) using a No-Code platform to address the practical constraints and significant entry barriers in the process of AI technology adoption within ente... | Background: The adoption of advanced AI technologies, such as Multi-Agent Systems powered by Large Language Models (LLMs), poses significant challenges for many organizations due to high technical complexity and implementation costs.</t>
  </si>
  <si>
    <t>Security management is also a key consideration, as corporate documents often contain sensitive information.</t>
  </si>
  <si>
    <t>2.2 Multi-Agent System (MAS) 2.2.1 Concept and Structure of MAS An agent is a system that uses LLMs to determine the control flow of an application, and it can be categorized into Single Agents, which perform a single task, and Multi-Agents, which work together to perform complex tasks.</t>
  </si>
  <si>
    <t>These results validate the system's practicality and scalability. | Additionally, Flowise enhances scalability and maintainability through its built-in API management, real-time execution monitoring, and plugin extension system [32].</t>
  </si>
  <si>
    <t>Last ly, in the performance evaluation phase, the system's performance is analyzed comprehensively through quantitative evaluations (e.g., processing speed, accuracy, reliability) and qualitative assessments (e.g., user satisfaction, improvement in work efficiency).</t>
  </si>
  <si>
    <t>Once their review is good enough, produce a finalized version of the code. ~ ~ ~ Quality Assurance Engineer System Prompts: Your goal is to ensure the delivery of high-quality software through thorough code review and testing.</t>
  </si>
  <si>
    <t>The objective of this study is to implement a multimodal LLM-based Multi-Agent System (MAS) using No-Code tools and to propose a methodology for effectively integrating AI technologies into business processes without requiring professional developers.</t>
  </si>
  <si>
    <t>Image Captioning, Text-based Image Generation VideoText/Image Transformation Performing Bidirectional Conversion Between Text, Images, and Video · Image Captioning: Describes the content of a video in natural language. · Text-to-Video Generation: Creating video content from textual descriptions or prompts Video Content Search, Smart Shopping, Educational Content Generation · Image-to-Video Generation: Creating video content using still images as source material Cross-modal Retrieval Uses information from one modality to search content in ano...</t>
  </si>
  <si>
    <t>INTRODUCTION The rapid advancement of artificial intelligence (AI) technologies has highlighted the importance of Large Language Models (LLMs) across various fields.</t>
  </si>
  <si>
    <t>Background: The adoption of advanced AI technologies, such as Multi-Agent Systems powered by Large Language Models (LLMs), poses significant challenges for many organizations due to high technical complexity and implementation costs.</t>
  </si>
  <si>
    <t>However, LLMs may generate responses that conflict with the most recent information and rely on previously trained data, which limits their understanding of new problems or domains [4].</t>
  </si>
  <si>
    <t>2.4.2 Comparison of Workflow-based AI Multi-Agent No-Code Platforms Effective implementation of MAS through No-Code platforms requires an intuitive drag-and-drop interface that provides an environment for organically linking various agents around workflows.</t>
  </si>
  <si>
    <t>PDF text extracted from 22 pages; sample evidence page: Not reported.</t>
  </si>
  <si>
    <t>, various solutions have been explored, including domain-specific fine-tuning of LLMs and utilizing internal knowledge to improve reliability through Retrieval-Augmented Generation (RAG) techniques [5]. Additionally, generative AI technologies based on extensive datasets have made it easier for users to access services that generate new content such as text, images, audio, and video [1], [6]. Multimodal AI models, such as OpenAI's GPT -4V and GPT -4o, demonstrate the capability to integratively process various forms of data, including text, images, and audio [7]. These advancements are driving significant transformations in enterprise environments. Companies are 2 Cheonsu Jeong increasingly seeking ways to automate various business processes, such as code generation, RAG -based search, and image processing, using AI technologies. This growing demand underscores the need to enhance productivity and efficiency through AI-driven solutions. Adopting AI technologies in enterprises faces several practical challenges. Building and operating high - performance AI systems require specialized developers and advanced technical resources. Particularly, implementing and managing large-scale AI models such as LLMs involves high complexity, significant costs, and extensive time investments, which makes it difficult for many organizations to easily adopt these technologies [8]. In this cont...</t>
  </si>
  <si>
    <t>DIRECTIONS Future research should focus on optimizing the performance of agents that handle multimodal data. Enhancements in preprocessing and postprocessing, particularly in OCR and image processing, are necessary to improve text recognition accuracy. Additionally, optimizing communication protocols for seamless data exchange between agents will be essential. The MAS implemented in this study can be expanded functionally through the integration of additional APIs and modular extensions. Future research could explore incorporating additional agents and new multimodal processing modules to broaden the system's application scope and adapt it to a wider range of business processes. For instance, the integration of complex modules, such as voice recognition, could be considered. While this study explored the potential of a No -Code-based MAS, further research tailored to the unique needs of various industries is necessary. Developing and evaluating customized agents, data processing tec...</t>
  </si>
  <si>
    <t>Beyond Text: Implementing Multimodal Large Language Model-Powered; Multi-Agent Systems Using a No-Code Platform; Cheonsu Jeong1,*; 1Department of AI Automation, SAMSUNG SDS, Seoul, South Korea (2019). 2025.01 Beyond Text: Implementing Multimodal Large Language Model-Powered Multi-Agent Systems Using a No-Code Platform.</t>
  </si>
  <si>
    <t>P041</t>
  </si>
  <si>
    <t>41.Memory Management and Contextual Consistency for Long-Running Low-Code Agents.pdf</t>
  </si>
  <si>
    <t>research paper\41.Memory Management and Contextual Consistency for Long-Running Low-Code Agents.pdf</t>
  </si>
  <si>
    <t>Memory Management and Contextual Consistency for Long-Running Low-Code Agents</t>
  </si>
  <si>
    <t>for Long-Running Low-Code Agents; Jiexi Xu</t>
  </si>
  <si>
    <t>arXiv:2509.25250v1 [cs.AI] 27 Sep 2025</t>
  </si>
  <si>
    <t>LCNC Agents, Memory Management, Contextual Consistency, Large Language Models (LLMs), Hybrid Memory Architecture, Human-in-the-Loop (HITL) 1</t>
  </si>
  <si>
    <t>The rise of AI-native Low-Code/No-Code (LCNC) platforms enables autonomous agents capable of executing complex, long-duration business processes. However, a fundamental challenge remains: memory management. As agents operate over extended periods, they face"memory inflation"and"contextual degradation"issues, leading to inconsistent behavior, error accumulation, and increased computational cost. This paper proposes a novel hybrid memory system designed specifically for LCNC agents. Inspired by cognitive science, our architecture combines episodic and semantic memory components with a proactive"Intelligent Decay" mechanism. This mechanism intelligently prunes or consolidates memories based on a composite score factoring in recency, relevance, and user-specified utility. A key innovation is a user-centric visualization interface, aligned with the LCNC paradigm, which allows non-technical users to manage the agent’s memory directly, for instance, by visually tagging which facts should be retained or forgotten. Through simulated long-running task experiments, we demonstrate that our system significantly outperforms traditional approaches like sliding windows and basic RAG, yielding superior task completion rates, contextual consistency, and long-term token cost efficiency. Our findings establish a new framework for building reliable, transparent AI agents capable of effective long-term learning and adaptation.</t>
  </si>
  <si>
    <t>Platform comparison; Citizen development; Scalability</t>
  </si>
  <si>
    <t>Through simulated long-running task experiments, we demonstrate that our system significantly outperforms traditional approaches like sliding windows and basic RAG, yielding superior task completion rates, contextual consistency, and long-term token cost efficiency. | Our findings establish a new framework for building reliable, transparent AI agents capable of effective long-term learning and adaptation. | Empirical studies on LLM agents have revealed a problematic "experience following prop...</t>
  </si>
  <si>
    <t>Memory Management and Contextual Consistency for Long-Running Low-Code Agents Jiexi Xu University of California, Irvine School of Information &amp; Computer Science jiexix@uci.edu October 1, 2025 Abstract The rise of AI-native Low-Code/No-Code (LCNC) platforms enables autonomous agents capable of executing complex, long-duration business processes.</t>
  </si>
  <si>
    <t>low-code; no-code; LCNC</t>
  </si>
  <si>
    <t>Our findings establish a new framework for building reliable, transparent AI agents capable of effective long-term learning and adaptation.</t>
  </si>
  <si>
    <t>A key innovation is a user-centric visualization interface, aligned with the LCNC paradigm, which allows non-technical users to manage the agent’s memory directly, for instance, by visually tagging which facts should be retained or forgotten.</t>
  </si>
  <si>
    <t>As an agent interacts with its environment and users, its internal "memory" (the collection of past messages, observations, and tool outputs) grows linearly.</t>
  </si>
  <si>
    <t>Our hybrid system significantly outperforms both baselines across all key metrics, achieving an absolute 13.6% improvement in task completion rate over the basic RAG. | Notably, it strikes a favorable balance between performance and cost, reducing the average token cost by 22% compared to the basic RAG while achieving superior results. | 11" " " S i m u l a t e s p e r f o r m a n c e decay due to memory i n f l a t i o n and error a c c u m u l a t i o n ( All - Add Ba se lin e ) . " " " 12p e r f o r m a n c e = [] 13for t in range ( turns ) : 14# E x p o n e n t i a l decay of success rate over time 15s u c c e s s _ r a t e = b a s e _ s u c c e s s * np . exp ( - d e c a y...</t>
  </si>
  <si>
    <t>The key contributions of this work include: •A multi-component, hybrid memory architecture that models the agent’s knowledge using distinct episodic and semantic memory stores. •An"Intelligent Decay"mechanism, a formalized mathematical model inspired by active forgetting processes in cognitive science, which proactively prunes and consolidates memories based on a composite utility score. •A user-centric visualization interface that allows non-technical users to act as Human-in-theLoop (HITL)...</t>
  </si>
  <si>
    <t>This interface transforms a technical challenge into a collaborative experience, enhancing user trust and the agent’s long-term reliability [14].</t>
  </si>
  <si>
    <t>Through simulated long-running task experiments, we demonstrate that our system significantly outperforms traditional approaches like sliding windows and basic RAG, yielding superior task completion rates, contextual consistency, and long-term token cost efficiency. | Our findings establish a new framework for building reliable, transparent AI agents capable of effective long-term learning and adaptation. | Empirical studies on LLM agents have revealed a problematic "experience following property" [6].</t>
  </si>
  <si>
    <t>Our approach moves beyond passive solutions like sliding windows toward a proactive, cognitivelyinspired, and user-empowered system. | Our hybrid system significantly outperforms both baselines across all key metrics, achieving an absolute 13.6% improvement in task completion rate over the basic RAG.</t>
  </si>
  <si>
    <t>However, a fundamental challenge remains: memory management. | 1.2 The Contextual Degradation Problem Despite this promise, LLM agents face a critical bottleneck: the finite size of their context window [4].</t>
  </si>
  <si>
    <t>Instead of a naive "add-all" or "truncate-all" policy, it intelligently decides whether to keep, discard, or consolidate a memory based on its utility.</t>
  </si>
  <si>
    <t>This can lead to a state of"self-degradation,"where the agent’s performance declines over time [6]. | Self-Evolution All-Add Strategy (Degradation) Fixed Memory Baseline Our Hybrid System (Evolution) Figure 2: Visualization of the impact of different memory strategies on long-term agent performance, illustrating the "self-degradation" problem and the advantage of our "self-evolution" approach.</t>
  </si>
  <si>
    <t>This growth leads to two primary, interlinked problems: 1.Memory Inflation:Dialogue history and tool responses, if passed into every subsequent LLM call, rapidly consume the finite context window and increase token cost, often necessitating forced truncation [5].</t>
  </si>
  <si>
    <t>Furthermore, the agent could incorporate procedural memory, allowing it to remember and apply learned skills across tasks [11].</t>
  </si>
  <si>
    <t>As agents operate over extended periods, they face"memory inflation"and"contextual degradation"issues, leading to inconsistent behavior, error accumulation, and increased computational cost.</t>
  </si>
  <si>
    <t>However, a fundamental challenge remains: memory management.</t>
  </si>
  <si>
    <t>5.3 Results and Analysis Table 1: Comparison of Key Performance Indicators Across Strategies Metric Sliding Window Basic RAG Our Hybrid System Task Completion Rate (%) 65.2 81.4 92.5 Average Token Cost (per turn) 580 1150 890 Latency (ms) 120 250 200 Consistency Score (Semantic) 0.78 0.89 0.94 Contradiction Rate (%) 18.1 5.5 1.2 The results in Table 1 show a clear hierarchy of performance.</t>
  </si>
  <si>
    <t>. 2 •Sliding Window Truncation:The simplest and most common approach, which retains only the most recentNturns, discarding older history [5]. While computationally trivial and effective for shallow, single-session tasks, it is fundamentally a brute-force approach that inevitably leads to the loss of long-term context [4]. •Message Summarization:This method condenses old dialogue into a concise summary, which is then appended to the prompt [5]. This allows the agent to retain more context over a longer duration, but the summarization process carries the risk of information loss or "abstraction hazard." •Retrieval-Augmented Generation (RAG):RAG enhances the performance of LLMs by retrieving relevant information from an external knowledge base and using it to augment the agent’s prompt before response generation [7]. While highly effective for providing up-to-date and domain-specific knowledge, it is typically applied to external documents rather than the agent’s own interaction history [7]. The effectiveness of RAG relies heavily on efficient retrieval pipelines and the quality of the vector database [8]. 2.2 Advanced Memory Architectures Recent research has explored more sophisticated, multi-component memory systems for agents. The MIRIXsystem proposed a six-component memory architecture including episodic, semantic, and procedural memory, capable of handling multimodal data...</t>
  </si>
  <si>
    <t>for Long-Running Low-Code Agents; Jiexi Xu (2025). Memory Management and Contextual Consistency for Long-Running Low-Code Agents. arXiv:2509.25250v1 [cs.AI] 27 Sep 2025.</t>
  </si>
  <si>
    <t>P042</t>
  </si>
  <si>
    <t>42.Agentic Metacognition.pdf</t>
  </si>
  <si>
    <t>research paper\42.Agentic Metacognition.pdf</t>
  </si>
  <si>
    <t>Agentic Metacognition: Designing a "Self-Aware" Low-Code Agent for Failure Prediction and Human Handoff</t>
  </si>
  <si>
    <t>Agent for Failure Prediction and Human Handoff; Jiexi Xu</t>
  </si>
  <si>
    <t>arXiv:2509.19783v1 [cs.AI] 24 Sep 2025</t>
  </si>
  <si>
    <t>AI Agents, Metacognition, Low-Code, Human-in-the-Loop, Failure Prediction, Explainable AI 1</t>
  </si>
  <si>
    <t>The inherent non-deterministic nature of autonomous agents, particularly within low-code/no-code (LCNC) environments, presents significant reliability challenges. Agents can become trapped in unforeseen loops, generate inaccurate outputs, or encounter unrecoverable failures, leading to user frustration and a breakdown of trust. This report proposes a novel architectural pattern to address these issues: the integration of a secondary, “metacognitive” layer that actively monitors the primary LCNC agent. Inspired by human introspection, this layer is designed to predict impending task failures based on a defined set of triggers, such as excessive latency or repetitive actions. Upon predicting a failure, the metacognitive agent proactively initiates a human handoff, providing the user with a clear summary of the agent’s “thought process” and a detailed explanation of why it could not proceed. An empirical analysis of a prototype system demonstrates that this approach significantly increases the overall task success rate. However, this performance gain comes with a notable increase in computational overhead. The findings reframe human handoffs not as an admission of defeat but as a core design feature that enhances system resilience, improves user experience, and builds trust by providing transparency into the agent’s internal state. The report discusses the practical and ethical implications of this approach and identifies key directions for future research.</t>
  </si>
  <si>
    <t>AI and automation; Ethics and accessibility; Quality assurance and testing</t>
  </si>
  <si>
    <t>An empirical analysis of a prototype system demonstrates that this approach significantly increases the overall task success rate. | The findings reframe human handoffs not as an admission of defeat but as a core design feature that enhances system resilience, improves user experience, and builds trust by providing transparency into the agent’s internal state. | This analysis demonstrates the measurable impact of the framework on key performance metrics. •Discussion of Implications:We explore...</t>
  </si>
  <si>
    <t>Keywords:AI Agents, Metacognition, Low-Code, Human-in-the-Loop, Failure Prediction, Explainable AI 1 Introduction 1.1 The Challenge of Non-Deterministic Agents The widespread adoption of large language models (LLMs) has enabled the creation of sophisticated AI agents capable of automating complex, multi-step tasks.</t>
  </si>
  <si>
    <t>In parallel, the emergence of low-code/no-code (LCNC) platforms has democratized agent development, allowing non-technical users to build and deploy bespoke AI solutions without extensive programming knowledge.</t>
  </si>
  <si>
    <t>This paper makes three primary contributions: •A Formal Framework for Agentic Metacognition:We propose and define a two-layer architectural pattern for LCNC agents that incorporates a dedicated metacognitive layer for monitoring and failure prediction. •Empirical Validation:We present a quantitative analysis of a prototype system, comparing a baseline agent with no monitoring against an agent with the proposed metacognitive layer.</t>
  </si>
  <si>
    <t>1.3 Core Hypothesis and Contributions The central hypothesis of this study is that adding a metacognitive layer will significantly enhance the resilience of LCNC agents by predicting and mitigating failures through a proactive human handoff. | This single event validates the core hypothesis of the report, confirming that the metacognitive layer can indeed convert a potential failure into a successfully completed task through human intervention.</t>
  </si>
  <si>
    <t>Performance data for this condition was collected in theruns without monitor.csvdataset.</t>
  </si>
  <si>
    <t>Common issues include getting stuck in infinite loops, generating hallucinations or factually inaccurate information, and failing to correctly invoke external tools and APIs [3].</t>
  </si>
  <si>
    <t>Table 1: Comparative Performance Metrics Metric Baseline Agent Monitored Agent Total Runs 512 517 Total Successes 388 432 Total Failures 124 85 Overall Success Rate 75.78% 83.56% Total Duration 0.0051s 0.0638s Average Duration per Run 9.997e-06s 0.000123s Total Handoffs 0 3 The data from Table 1 provides a clear, top-level understanding of the f... | The Monitored Agent achieved a significantly higher success rate, with an overall success rate of 83.56% compared to the Baseline Agent’s 75.78%. | The most significant result is the increase in the overall success rate from 75.78% to 83.56%. | The prototype with the metacognitive layer achieved an overall success rate of 83.56%, a notable increase from the baseline agent’s 75.78%.</t>
  </si>
  <si>
    <t>An empirical analysis of a prototype system demonstrates that this approach significantly increases the overall task success rate.</t>
  </si>
  <si>
    <t>Agentic Metacognition: Designing a “Self-Aware” Low-Code Agent for Failure Prediction and Human Handoff Jiexi Xu University of California, Irvine School of Information &amp; Computer Science jiexix@uci.edu September 24, 2025 Abstract The inherent non-deterministic nature of autonomous agents, particularly within low-code/no-code (LCNC) environments, presents significant reliability challenges.</t>
  </si>
  <si>
    <t>An empirical analysis of a prototype system demonstrates that this approach significantly increases the overall task success rate. | The findings reframe human handoffs not as an admission of defeat but as a core design feature that enhances system resilience, improves user experience, and builds trust by providing transparency into the agent’s internal state. | This analysis demonstrates the measurable impact of the framework on key performance metrics. •Discussion of Implications:We explore the broader practical and ethical consequences of this approach, highlighting the value of explainable AI (XAI) in building user trust and the critical trade-offs involved in system design.</t>
  </si>
  <si>
    <t>The findings reframe human handoffs not as an admission of defeat but as a core design feature that enhances system resilience, improves user experience, and builds trust by providing transparency into the agent’s internal state. | This method is expected to improve not only the objective success rate of tasks but also the overall user experience by fostering trust and transparency.</t>
  </si>
  <si>
    <t>Agentic Metacognition: Designing a “Self-Aware” Low-Code Agent for Failure Prediction and Human Handoff Jiexi Xu University of California, Irvine School of Information &amp; Computer Science jiexix@uci.edu September 24, 2025 Abstract The inherent non-deterministic nature of autonomous agents, particularly within low-code/no-code (LCNC) environments, presents significant reliability challenges. | However, this performance gain comes with a notable increase in computational overhead.</t>
  </si>
  <si>
    <t>This transforms the question of “What happened?” into a traceable, auditable process, providing a path to improved safety and compliance [18].</t>
  </si>
  <si>
    <t>However, this performance gain comes with a notable increase in computational overhead.</t>
  </si>
  <si>
    <t>Integrating such a system requires robust observability and testing frameworks to continuously monitor for new failure patterns and ensure the monitoring layer itself is reliable [22].</t>
  </si>
  <si>
    <t>Some research suggests that continuous scaffolding from AI could lead to “scaffolding atrophy,” where over-reliance on the agent’s monitoring layer degrades a human user’s own problem-solving skills [21].</t>
  </si>
  <si>
    <t>Future work should focus on several key areas: • Expanding the experimental design to include a more diverse range of agent failure modes, such as hallucinations, incorrect tool use, and data quality issues [9, 10]. • Conducting user studies to quantitatively measure the impact of the reasoning trace on human trust, user confidence, and long-term skill acquisition. • Developing and testing optimization techniques, such as adaptive methods for model training and inference [20, 23], to reduce the computational and latency overhead of the metac...</t>
  </si>
  <si>
    <t>This presents a fundamental trade-off: a higher success rate can be achieved, but at the cost of increased latency.</t>
  </si>
  <si>
    <t>The following analysis is based on a full-dataset evaluation, which provides a more accurate and comprehensive comparison.</t>
  </si>
  <si>
    <t>PDF text extracted from 9 pages; sample evidence page: Not reported.</t>
  </si>
  <si>
    <t>[17]. Instead of stubbornly attempting a task it cannot complete, a well-designed agent will “step aside gracefully” to ensure the customer’s issue is resolved, even if it cannot do so autonomously [16]. Key design principles for a successful handoff include: •Proactive Triggers:The handoff should be initiated by the system, not forced by a frustrated user repeatedly asking to speak to an agent [16]. •Full Context Transfer:The human agent must receive a complete, easy-to-read summary of the conversation history, user details, and all actions the AI has attempted or taken. The user should never have to repeat themselves [17]. •Clear Expectations:The system should inform the user that a handoff is taking place and provide a transparent reason for the transfer [17]. 2.4 The Role of Explainability (XAI) in Agent Design The opacity of AI decision-making-known as the “black box” problem-is a major barrier to user trust and adoption [18]. Explainable AI (XAI) refers to the methods and principles that make an agent’s internal logic transparent and understandable to humans [18]. A powerful method for achieving this transparency is the generation of “reasoning traces” or “Chain-of-Thought” (CoT) outputs. By instructing an LLM to “think step-by-step” before producing a final answer, it generates a sequence of tokens that resembles a human thought process. While this technique primarily...</t>
  </si>
  <si>
    <t>should focus on several key areas: • Expanding the experimental design to include a more diverse range of agent failure modes, such as hallucinations, incorrect tool use, and data quality issues [9, 10]. • Conducting user studies to quantitatively measure the impact of the reasoning trace on human trust, user confidence, and long-term skill acquisition. • Developing and testing optimization techniques, such as adaptive methods for model training and inference [20, 23], to reduce the computational and latency overhead of the metacognitive layer without compromising its effectiveness.</t>
  </si>
  <si>
    <t>The report discusses the practical and ethical implications of this approach and identifies key directions for future research.</t>
  </si>
  <si>
    <t>ETHICS_ACCESSIBILITY</t>
  </si>
  <si>
    <t>Agent for Failure Prediction and Human Handoff; Jiexi Xu (2025). Agentic Metacognition: Designing a "Self-Aware" Low-Code Agent for Failure Prediction and Human Handoff. arXiv:2509.19783v1 [cs.AI] 24 Sep 2025.</t>
  </si>
  <si>
    <t>P043</t>
  </si>
  <si>
    <t>43.Improving the Developer Experience with a Low-Code Process Modelling Language.pdf</t>
  </si>
  <si>
    <t>research paper\43.Improving the Developer Experience with a Low-Code Process Modelling Language.pdf</t>
  </si>
  <si>
    <t>10.1145/3239372.3239387</t>
  </si>
  <si>
    <t>Improving the Developer Experience with a Low-Code Process Modelling Language</t>
  </si>
  <si>
    <t>Modelling Language; Henrique Henriques, Hugo Lourenço; OutSystems; Linda-a-Velha, Portugal</t>
  </si>
  <si>
    <t>ACM Reference Format:; 2018. Improving the Developer Experience with a Low-Code Process Modelling Language. In ACM/IEEE 21th International Conference on Model Driven; Copenhagen, Denmark. ACM, New York, NY, USA, 11 pages. https://doi.org/</t>
  </si>
  <si>
    <t>Low-Code Languages, Developer Experience ACM Reference Format: Henrique Henriques, Hugo Lourenço and Vasco Amaral, Miguel Goulão. 2018. Improving the Developer Experience with a Low-Code Process Modelling Language. In ACM/IEEE 21th International Conference on Model Driven Engineering Languages and Systems (MODELS ’18), October 14-19, 2018, Copenhag</t>
  </si>
  <si>
    <t>Context: The OutSystems Platform is a development environment composed of several DSLs, used to specify, quickly build and validate web and mobile applications. The DSLs allow users to model different perspectives such as interfaces and data models, define custom business logic and construct process models.Problem: The DSL for process modelling (Business Process Technology (BPT)), has a low adoption rate and is perceived as having usability problems hampering its adoption. This is problematic given the language maintenance costs. Method: We used a combination of interviews, a critical review of BPT using the “Physics of Notation” and empirical evaluations of BPT using the System Usability Scale (SUS) and the NASA Task Load indeX (TLX), to develop a new version of BPT, taking these inputs and Outsystems’ engineers culture into account. Results: Evaluations conducted with 25 professional software engineers showed an increase of the semantic transparency on the new version, from 31% to 69%, an increase in the correctness of responses, from 51% to 89%, an increase in the SUS score, from 42.25 to 64.78, and a decrease of the TLX score, from 36.50 to 20.78. These differences were statistically significant. Conclusions: These results suggest the new version of BPT significantly improved the developer experience of the previous version. The end users background with OutSystems had a relevant impact on the final concrete syntax choices and achieved usability indicators. CCS CONCEPTS •Software and its engineering → Software usability; Domain specific languages; Visual languages;</t>
  </si>
  <si>
    <t>Platform comparison; Model-driven / visual programming roots; Usability and user experience</t>
  </si>
  <si>
    <t>Through interviews with OutSystems developers and data collected from recent projects, we found that BPT was not having the expected adoption rate (less targeted languages within OutSystems are used for process modelling) and was being used for purposes other than process modelling. | We found cases of symbol deficit: while there is semantic support for using Forks and Joins to model parallelism, there were no special symbols for these. | We also found cases ofsymbol overload: the Timeout sym...</t>
  </si>
  <si>
    <t>Improving the Developer Experience with a Low-Code Process Modelling Language Henrique Henriques, Hugo Lourenço OutSystems Linda-a-Velha, Portugal (henrique.henriques|hugo.lourenco)@outsystems.com Vasco Amaral, Miguel Goulão NOVA LINCS, DI, FCT/UNL Lisboa, Portugal (vma|mgoul)@fct.unl.pt ABSTRACT Context: The OutSystems Platform is a development environment composed of several DSLs, used to specify, quickly build and validate web and mobile applications.</t>
  </si>
  <si>
    <t>Results In this section, we outline the main conclusions of our analysis of the BPT concrete syntax using the PoN as a reference framework.</t>
  </si>
  <si>
    <t>The DSLs allow users to model different perspectives such as interfaces and data models, define custom business logic and construct process models.Problem: The DSL for process modelling (Business Process Technology (BPT)), has a low adoption rate and is perceived as having usability problems hampering its adoption.</t>
  </si>
  <si>
    <t>OutSystems</t>
  </si>
  <si>
    <t>4 NEW BPT PROPOSAL 4.1 Research questions During the analysis of the current version of BPT, we concluded that one of the areas that could be improved was its concrete syntax. | Three research questions guided our quasi-experiments on the semantic transparency of BPT: • RQ1. | Is the original BPT concrete syntax semantically opaque? • RQ2.</t>
  </si>
  <si>
    <t>Can participants unfamiliar with BPT design more semantically transparent symbols for BPT than the original? • RQ3.</t>
  </si>
  <si>
    <t>The application randomly redirected the participant to one of the four surveys, while keeping a balanced distribution of respondents among alternative notations (in practice, for every 4 participants, one would be randomly assigned to each of the alternative notations).</t>
  </si>
  <si>
    <t>The SQL code generated by thePlatform Server is specific to the selected database management system.</t>
  </si>
  <si>
    <t>This shortcoming is mitigated by the fact that BPT is normally used within Service Studio, where a toolbar also serves, in practice, as a key for the BPT diagrams.</t>
  </si>
  <si>
    <t>Results: Evaluations conducted with 25 professional software engineers showed an increase of the semantic transparency on the new version, from 31% to 69%, an increase in the correctness of responses, from 51% to 89%, an increase in the SUS score, from 42.25 to 64.78, and a decrease of the TLX score, from 36.50 to 20.78. | Results From a repository of 5145 OutSystems application models available in the OutSystems platform, only 179 (around 3%) used BPT. | This was done applying the sign production technique [12], where novices were asked to draw symbols that best represent each of BPT’s semantic constructs. ii) Participants and materials: The 24 participants were software developers (half of them were students, the other half professionals) | Most of the 16 participants were recruited through a digital third-party platform for usability tests called UsabilityHub [34].</t>
  </si>
  <si>
    <t>Method: We used a combination of interviews, a critical review of BPT using the “Physics of Notation” and empirical evaluations of BPT using the System Usability Scale (SUS) and the NASA Task Load indeX (TLX), to develop a new version of BPT, taking these inputs and Outsystems’ engineers culture into account.</t>
  </si>
  <si>
    <t>5.3 Threats to validity We need to consider potential validity threats [35].</t>
  </si>
  <si>
    <t>Through interviews with OutSystems developers and data collected from recent projects, we found that BPT was not having the expected adoption rate (less targeted languages within OutSystems are used for process modelling) and was being used for purposes other than process modelling. | We found cases of symbol deficit: while there is semantic support for using Forks and Joins to model parallelism, there were no special symbols for these. | We also found cases ofsymbol overload: the Timeout symbol is used for three types of waits (all with different behaviours); the End symbol is the same used for Terminate; there are several ways of triggering a process but the Start symbol does not reflect this.</t>
  </si>
  <si>
    <t>Conclusions: These results suggest the new version of BPT significantly improved the developer experience of the previous version. | However, there is scarce evidence and examples of industry-strength studies highlighting these benefits.</t>
  </si>
  <si>
    <t>The DSLs allow users to model different perspectives such as interfaces and data models, define custom business logic and construct process models.Problem: The DSL for process modelling (Business Process Technology (BPT)), has a low adoption rate and is perceived as having usability problems hampering its adoption. | This is problematic given the language maintenance costs.</t>
  </si>
  <si>
    <t>Experience with Process Modelling Language MODELS ’18, October 14-19, 2018, Copenhagen, Denmark time performance implications), and the average number of nodes of BPT models. | This is problematic given the language maintenance costs.</t>
  </si>
  <si>
    <t>This allows significantly faster development times and a higher quality result when compared to general-purpose languages [29].</t>
  </si>
  <si>
    <t>Note that, in the present stage, all these changes were developed as a prototype with the goal of testing the proposed concrete syntax.</t>
  </si>
  <si>
    <t>Rather than using students as subjects [2, 22, 32], we had OutSystems professional developers as subjects.</t>
  </si>
  <si>
    <t>This was done applying the sign production technique [12], where novices were asked to draw symbols that best represent each of BPT’s semantic constructs. ii) Participants and materials: The 24 participants were software developers (half of them were students, the other half professionals)</t>
  </si>
  <si>
    <t>This is problematic given the language maintenance costs.</t>
  </si>
  <si>
    <t>However, there is scarce evidence and examples of industry-strength studies highlighting these benefits.</t>
  </si>
  <si>
    <t>Cognitive Integration: A language should include some explicit mechanisms to support the integration of information from</t>
  </si>
  <si>
    <t>This last empirical study is the one where we finally evaluated the three research questions presented in section 4.1. f) Usability and cognitive effort comparison: The original and the proposed BPT were compared in terms of their usability and of the cognitive effort associated in using them.</t>
  </si>
  <si>
    <t>We need to consider potential validity threats [35]. Population selection is a threat, as, due to resource constraints, all the participants used in the usability experiments were members of OutSystems (not part of the BPT development team). Ideally, there would also be representatives of business managers, as they are also stakeholders for BPT. Further research is required to assess the proposed BPT with those stakeholders. Also, due to the strict time availability of the participants (as is common in these experiments), the usability experiments were limited to three BPT diagrams of varying complexity. While those diagrams were selected for being as representative as possible of BPT, there is always the potential for increasing the external validity of these results by performing replications of this evaluation with different BPT diagrams. 6 RELATED WORK Moody et al. evaluated the i* concrete syntax using PoN and proposed a new symbol set for it [24]. Caire et al. compared Moody’s proposed concrete syntax with alternatives produced by novices (a stereotype and a prototype concrete syntaxes) and the standard i* concrete syntax [2]. We adapted Caire’s protocol. Instead of having previously defined a PoN-informed concrete syntax for BPT, we also used the concrete syntaxes proposed through a symbolization experiment as input for the development of the proposed BPT. PoN was use...</t>
  </si>
  <si>
    <t>While running into maintenance costs, and having identified the need for improving the usability of the commercial business process modelling language (BPT) at OutSystems, we have designed and put forward a systematic process to identify and fix usability issues. We identified issues on syntactic and semantic constructs, and proposed a new notation. After evolving BPT within OutSystem’s development environment, we applied the evaluation process to the proposed BPT and observed a significant increase in usability. The comparison analysis between the original and the proposed version of the BPT confirmed that the process is effective and that the new notation has a higher usability rating. We could also conclude that: Semantic transparency has a large impact on usability; users create more semantic transparent symbols than language engineers (which goes in line with what Caire et al. concluded [2]); it is extremely important to have a one-to-one relationship between the concrete synta...</t>
  </si>
  <si>
    <t>On section 5 we discuss results and implications for practice.</t>
  </si>
  <si>
    <t>Modelling Language; Henrique Henriques, Hugo Lourenço; OutSystems; Linda-a-Velha, Portugal (2023). Improving the Developer Experience with a Low-Code Process Modelling Language. ACM Reference Format:; 2018. Improving the Developer Experience with a Low-Code Process Modelling Language. In ACM/IEEE 21th International Conference on Model Driven; Copenhagen, Denmark. ACM, New York, NY, USA, 11 pages. https://doi.org/.</t>
  </si>
  <si>
    <t>https://doi.org/10.1145/3239372.3239387</t>
  </si>
  <si>
    <t>P044</t>
  </si>
  <si>
    <t>44.Feasibility of AI-Assisted Programming for End-User Development.pdf</t>
  </si>
  <si>
    <t>research paper\44.Feasibility of AI-Assisted Programming for End-User Development.pdf</t>
  </si>
  <si>
    <t>Feasibility of AI-Assisted Programming for End-User Development</t>
  </si>
  <si>
    <t>Irene Weber 1</t>
  </si>
  <si>
    <t>arXiv:2512.05666v1 [cs.LG] 5 Dec 2025</t>
  </si>
  <si>
    <t>Generative AI, End-User Development, Large Language Model, Citizen Development, Low-Code/No-Code, AI-Assisted Programming, Software Engineering Thispreprinthasnotundergonepeerrevieworanypost-submissionimprovementsorcorrections.The Version of Record of this contribution will be published inHerwig Unger, Phayung Meesad (eds.): Advances in Natural Lan</t>
  </si>
  <si>
    <t>End-user development,where non-programmers create or adapt their own digital tools, can play a key role in driving digital transformation within organizations. Currently, low-code/no-code platforms are widely used to enable end-user development through visual programming, minimizing the need for manual coding. Recent advancements in generative AI, particularly large language model-based assistants and “copilots”, open new possibilities, as they may enable end users to generate and refine programming code and build apps directly from natural language prompts. This approach, here referred to as AI-assisted end-user coding, promises greater flexibility, broader applicability, faster development, improved reusability, and reduced vendor lock-in compared to the established visual LCNC platforms. This paper investigates whether AI-assisted end-user coding is a feasible paradigm for end-user development, which may complement or even replace the LCNC model in the future. To explore this, we conducted a case study in which non-programmers were asked to develop a basic web app through interaction with AI assistants.The majority of study participants successfully completed the task in reasonable time and also expressed support for AI-assisted end-user coding as a viable approach for end-user development. The paper presents the study design, analyzes the outcomes, and discusses potential implications for practice, future research, and academic teaching.</t>
  </si>
  <si>
    <t>Education and training; Platform comparison; Model-driven / visual programming roots</t>
  </si>
  <si>
    <t>EUD and BMIT have been found to offer various benefits. | Section 4 discusses the findings and their implications and concludes. | If possible, the form was to include a dynamic element, such as a follow-up question revealed conditionally based on user input.</t>
  </si>
  <si>
    <t>Currently, low-code/no-code platforms are widely used to enable end-user development through visual programming, minimizing the need for manual coding.</t>
  </si>
  <si>
    <t>low-code; no-code; LCNC; citizen development; end-user development; visual programming</t>
  </si>
  <si>
    <t>Feasibility of AI-Assisted Programming for End-User Development Preprint Accepted for NLPIR 2025 Irene Weber 1 Abstract:End-user development,where non-programmers create or adapt their own digital tools, can play a key role in driving digital transformation within organizations.</t>
  </si>
  <si>
    <t>To explore this, we conducted a case study in which non-programmers were asked to develop a basic web app through interaction with AI assistants.The majority of study participants successfully completed the task in reasonable time and also expressed support for AI-assisted end-user coding as a viable approach for end-user development.</t>
  </si>
  <si>
    <t>Regarding the perceived effort, a clear majority comprising 24 participants rated the effortto-outcome ratio asappropriate.</t>
  </si>
  <si>
    <t>When asked whether they would personally use the approach in the future, 16 participants answeredyes, and 15 selectedmaybe.</t>
  </si>
  <si>
    <t>Success was notably higher among master’s students, 85% of whom completed the task successfully, compared to 50% among bachelor’s students. | Regarding the perceived effort, a clear majority comprising 24 participants rated the effortto-outcome ratio asappropriate. | When asked whether they would personally use the approach in the future, 16 participants answeredyes, and 15 selectedmaybe. | (a) Reported Difficulties Issue Count Analysis (GS) 3 Prompting 6 HTML &amp; Web Dev 7 GS Integration 15 Faulty Codee 4 Model restrictions 1 (b) Needs Provision Count Training 18 Platform 10 Support 4 (c) AI assistants Assistant Count ChatGPT 31 DeepSeek 8 Copilot 2 Gemini 1 Perplexity 3 Lovable 2 Tab.</t>
  </si>
  <si>
    <t>This affects the external validity of the findings.</t>
  </si>
  <si>
    <t>This approach, here referred to as AI-assisted end-user coding, promises greater flexibility, broader applicability, faster development, improved reusability, and reduced vendor lock-in compared to the established visual LCNC platforms. | Keywords:Generative AI, End-User Development, Large Language Model, Citizen Development, Low-Code/No-Code, AI-Assisted Programming, Software Engineering Thispreprinthasnotundergonepeerrevieworanypost-submissionimprovementsorcorrections.The Version of Record of this contribution will be published inHerwig Unger, Phayung Meesad (eds.): Advances in Natural Language Processing and Information Retrieval 1 University of Applied Sciences Kempten, Fac...</t>
  </si>
  <si>
    <t>1 Introduction Companies are driving digitalization to gain efficiency, reduce error rates, avoid media disruptions,andcollecthigh-quality,structureddatafromthestartofallprocesses.However, capacity bottlenecks in IT departments often slow down the development and rollout of digital solutions. | Solutions stemming from these approaches tend to be well aligned with user needs and can address niche problems that central IT might overlook or deprioritize due to resource constraints.</t>
  </si>
  <si>
    <t>AI-generated code may contain errors, inefficiencies, or security vulnerabilities, and therefore requires careful testing and oversight 3</t>
  </si>
  <si>
    <t>1), the advantages would probably outweigh them, as the platform would also address other concerns mentioned in the survey, such as the need for clear guidelines, compliance, IT governance, and data security.</t>
  </si>
  <si>
    <t>This approach, here referred to as AI-assisted end-user coding, promises greater flexibility, broader applicability, faster development, improved reusability, and reduced vendor lock-in compared to the established visual LCNC platforms.</t>
  </si>
  <si>
    <t>The study was conducted at a German university of applied sciences with students of industrial engineering asparticipants, including both bachelor’s and master’s degree students.Thesestudentscommonlyhavebasiccodingskillsfromintroductoryprogramming classes, but no further formal education as software or app developers.</t>
  </si>
  <si>
    <t>A further strand of research investigatesLLMs as educational tools for novice programmers[FA24,Pr24,Ng24,Ch24].Forexample,[ FA24]examinehowundergraduatestudents use LLMs to complete beginner-level programming tasks, deriving insights for future programming education.</t>
  </si>
  <si>
    <t>Modern artificial intelligence (AI) technologies, especially large language models (LLM), are expected to have immense potential for digitalization in businesses.</t>
  </si>
  <si>
    <t>Solutions stemming from these approaches tend to be well aligned with user needs and can address niche problems that central IT might overlook or deprioritize due to resource constraints.</t>
  </si>
  <si>
    <t>1 Introduction Companies are driving digitalization to gain efficiency, reduce error rates, avoid media disruptions,andcollecthigh-quality,structureddatafromthestartofallprocesses.However, capacity bottlenecks in IT departments often slow down the development and rollout of digital solutions.</t>
  </si>
  <si>
    <t>PDF text extracted from 12 pages; sample evidence page: p. 6.</t>
  </si>
  <si>
    <t>associated with LCNC platforms, as recently discussed in tech-oriented media [To24, vH25, Wa25]: 2 1. BetterCustomization:Codingallowstotailorsoftwarepreciselytoindividualneeds, surpassing limitations and pre-configurations of standardized LCNC solutions. 2. Higher User Acceptance Through a Unified “One-Stop-Shop” Solution: Users no longer need to rely on multiple specialized tools (e.g., platforms for building data collection forms, poll-based meeting planners etc.). Instead, they can work within a single environment, avoiding the hassle of remembering, managing and switching between different tools, each with its own learning curve. 3. Faster development: Compared to the numerous manual interactions with graphical componentsrequiredwhenworkingwithvisualLCNCplatforms,instructinganLLM to write or adapt code can be faster. 4. Improved accessibility and reusability; elimination of vendor lock-in: Unlike solutions built on proprietary LCNC platforms, self-generated custom and self-used code2 is in the ownership of the coder, fully accessible and easier to modify, extend, reuse, and transfer to other environments. This paper presents an experimental study investigating the viability of LLM-assisted EUCod as a potentially emerging approach to EUD. Specifically, we to explore whether non-programmers are able and willing to develop basic digital tools with the assistence of LLMs.To...</t>
  </si>
  <si>
    <t>, and academic teaching. Keywords:Generative AI, End-User Development, Large Language Model, Citizen Development, Low-Code/No-Code, AI-Assisted Programming, Software Engineering Thispreprinthasnotundergonepeerrevieworanypost-submissionimprovementsorcorrections.The Version of Record of this contribution will be published inHerwig Unger, Phayung Meesad (eds.): Advances in Natural Language Processing and Information Retrieval 1 University of Applied Sciences Kempten, Faculty of Mechanical Engineering, Bahnhofstraße 61, 87435 Kempten, Germany, irene.weber@hs-kempten.de, https://orcid.org/0000-0003-2743-1698 arXiv:2512.05666v1 [cs.LG] 5 Dec 2025 1 Introduction Companies are driving digitalization to gain efficiency, reduce error rates, avoid media disruptions,andcollecthigh-quality,structureddatafromthestartofallprocesses.However, capacity bottlenecks in IT departments often slow down the development and rollout of digital solutions. End-User Development (EUD) and Business-Managed IT (BM...</t>
  </si>
  <si>
    <t>The paper presents the study design, analyzes the outcomes, and discusses potential implications for practice, future research, and academic teaching.</t>
  </si>
  <si>
    <t>Irene Weber 1 (2025). Feasibility of AI-Assisted Programming for End-User Development. arXiv:2512.05666v1 [cs.LG] 5 Dec 2025.</t>
  </si>
  <si>
    <t>P045</t>
  </si>
  <si>
    <t>45.A Configuration-First Framework for Reproducible, Low-Code Localization.pdf</t>
  </si>
  <si>
    <t>research paper\45.A Configuration-First Framework for Reproducible, Low-Code Localization.pdf</t>
  </si>
  <si>
    <t>A Configuration-First Framework for Reproducible, Low-Code Localization</t>
  </si>
  <si>
    <t>Machine Learning: a Localization Use Case; Tim Strnad, Blaž Bertalani ˇc, and Carolina Fortuna</t>
  </si>
  <si>
    <t>arXiv:2510.25692v3 [cs.SE] 21 Jan 2026</t>
  </si>
  <si>
    <t>localization, machine learning, reproducibility, workflow orchestration, low-code I.</t>
  </si>
  <si>
    <t>As machine learning (ML) becomes the backbone of critical applications-ranging from logistics to healthcare it becomes even more important to keep the results credible and comparable. Everyday workflows should make rigorous experiment specification and exact repeatability the default, without blocking advanced experimentation. However, in practice, researchers face a three-way gap that could be filled by a framework that offers (i) low coding effort for end-toend studies, (ii) reproducibility by default including versioned code/data/configurations, controlled randomness, isolated runs, recorded artifacts, and (iii) built-in extensibility so new models, metrics, and stages can be added with minimal integration effort. Existing tools rarely deliver all three for machine learning in general and localization workflows, supporting location-based services, in particular. In this paper we introduce a lowcode, configuration-first framework in which 1) experiments are declared in human-readable configuration, 2) a workflow orchestrator runs standardized pipelines from data preparation to reporting, and 3) all artifacts, such as datasets, models, metrics, and reports are versioned. We instantiate the framework as LOCALIZE with pre-configured, versioned datasets that reduce initial setup and boilerplate speeding up model development and evaluation. The design, with clear extension points, lets experts add components without reworking the infrastructure. In a qualitative comparison and a head-to-head study against a plain Jupyter notebook baseline, we show that the framework reduce...</t>
  </si>
  <si>
    <t>Domain-specific use; Education and training; Scalability</t>
  </si>
  <si>
    <t>While the reference implementation targets radio localization workflows, the architectural principles and empirical findings are intended to inform the design of reproducible ML research software more broadly. | The contributions of this paper presents are: •We introduce a low-code, configuration-first framework that bridges ease of use with scientific rigor by making reproducibility its default operating mode, integrating version control, execution isolation, and transparent artifact trackin...</t>
  </si>
  <si>
    <t>GUI/low-code platforms reduce coding effort, but can constrain advanced experimentation and fine-grained control [7], [8].</t>
  </si>
  <si>
    <t>1 A Configuration-First Framework for Reproducible, Low-Code Machine Learning: a Localization Use Case Tim Strnad, Blaž Bertalani ˇc, and Carolina Fortuna Abstract-As machine learning (ML) becomes the backbone of critical applications-ranging from logistics to healthcare it becomes even more important to keep the results credible and comparable.</t>
  </si>
  <si>
    <t>healthcare; logistics; scientific; localization</t>
  </si>
  <si>
    <t>The lack of standardized, reproducible, and extensible workflows leads to duplicated effort, fragile results, and a high barrier to entry for domain experts who are not also software engineers [13].</t>
  </si>
  <si>
    <t>In this paper we introduce a lowcode, configuration-first framework in which 1) experiments are declared in human-readable configuration, 2) a workflow orchestrator runs standardized pipelines from data preparation to reporting, and 3) all artifacts, such as datasets, models, metrics, and reports are versioned.</t>
  </si>
  <si>
    <t>Bouthillieret al. [3] quantify sources of variability in benchmarks and show that initialization, data sampling and order, and hyperparameter settings all affect outcomes.</t>
  </si>
  <si>
    <t>Existing tools rarely deliver all three for machine learning in general and localization workflows, supporting location-based services, in particular.</t>
  </si>
  <si>
    <t>However, in practice, researchers face a three-way gap that could be filled by a framework that offers (i) low coding effort for end-toend studies, (ii) reproducibility by default including versioned code/data/configurations, controlled randomness, isolated runs, recorded artifacts, and (iii) built-in extensibility so new models, metrics, and stages can be added with minimal integration effort.</t>
  </si>
  <si>
    <t>THREATS TOVALIDITY We discuss threats to validity following established empirical software engineering guidelines, reflecting limitations identified during the design and evaluation of the LOCALIZE framework.</t>
  </si>
  <si>
    <t>While the reference implementation targets radio localization workflows, the architectural principles and empirical findings are intended to inform the design of reproducible ML research software more broadly. | The contributions of this paper presents are: •We introduce a low-code, configuration-first framework that bridges ease of use with scientific rigor by making reproducibility its default operating mode, integrating version control, execution isolation, and transparent artifact tracking. •We design the framework to enforce consistent, comparable evaluation by applying a standardized set of metrics and reporting procedures across all methods and datasets, eliminating glue code and improving the... | Building on this empirical picture, Hendersonet al. [9] demonstrate that nondeterminism in benchmark environments and implementation details can materially change results, arguing for stricter methodology and documentation.</t>
  </si>
  <si>
    <t>We instantiate the framework as LOCALIZE with pre-configured, versioned datasets that reduce initial setup and boilerplate speeding up model development and evaluation. | In a qualitative comparison and a head-to-head study against a plain Jupyter notebook baseline, we show that the framework reduces authoring effort while maintaining comparable runtime and memory behavior.</t>
  </si>
  <si>
    <t>However, in practice, researchers face a three-way gap that could be filled by a framework that offers (i) low coding effort for end-toend studies, (ii) reproducibility by default including versioned code/data/configurations, controlled randomness, isolated runs, recorded artifacts, and (iii) built-in extensibility so new models, metrics, and stages can be added with minimal integration effort. | As machine learning (ML), comprised of classical as well as deep learning methods, becomes the backbone of critical applications-ranging from logistics to healthcare-the software engineering (SE) community faces a growing challenge: the reproducibility crisis in research software [1], [2].</t>
  </si>
  <si>
    <t>At the community level, Pineauet al. [1] describe the NeurIPS reproducibility program, checklists, a code policy, and a community challenge, which raised expectations for transparency across submissions.</t>
  </si>
  <si>
    <t>EVALUATION METHODOLOGY In this section we elaborate on the methodology to evaluate the proposed LOCALIZE framework introduced in Section IV along the following four aspects: (i) cross-tool capabilities using a qualitative comparison, (ii) developer effort by comparing our framework with a plain Jupyter notebook under controlled edits, (iii) runtime and resource usage by pipeline stage, and (iv) scalability as dataset size increases. | Furthermore, [12] recently formalized the concept of ’reproducibility smells’ defined as patterns in the development lifecycle, such as hidden global states and lack of automated artifact tracking, that lead to fragile and non-deterministic results.</t>
  </si>
  <si>
    <t>In AutoML, LOCALIZE completes faster in wall time at about 774 seconds compared with 823 seconds for the notebook, while CPU time remains essentially the same near 1200 core-seconds.</t>
  </si>
  <si>
    <t>This organization supports exact reruns and retrospective analysis without re-implementing earlier steps, satisfying the R2 and R3. e) Preconfigured datasets:To address requirementR5, the framework provides a small set of versioned, preconfigured datasets and experiment templates that standardize data access and baseline pipelines, and enable testing new models with minimal setup and repetitive boilerplate.</t>
  </si>
  <si>
    <t>Furthermore, using a Bluetooth lowenergy dataset we show that scaling across training data (1× to10×) keeps orchestration overheads bounded as data grows.</t>
  </si>
  <si>
    <t>In a qualitative comparison and a head-to-head study against a plain Jupyter notebook baseline, we show that the framework reduces authoring effort while maintaining comparable runtime and memory behavior.</t>
  </si>
  <si>
    <t>Times increase with data, but growth is sublinear overall due to bounded orchestration costs and other overhead.</t>
  </si>
  <si>
    <t>of the orchestration logic, confirming the framework’s robust scalability. VIII. THREATS TOVALIDITY We discuss threats to validity following established empirical software engineering guidelines, reflecting limitations identified during the design and evaluation of the LOCALIZE framework. Internal validityconcerns whether observed effects are attributable to the framework rather than confounding factors. The quantitative comparison against a Jupyter notebook baseline relies on functionally equivalent pipelines implemented by the authors. Although both implementations used identical algorithms, datasets, hyperparameters, and evaluation procedures, some implementation bias may remain. To mitigate this risk, both pipelines were validated to produce identical outputs under identical configurations, and execution isolation was enforced in the notebook baseline by running each experiment in a fresh process. Runtime and memory measurements were conducted in a controlled environment with consistent hardware and software configurations, and results were averaged across repeated runs. Nevertheless, transient system effects and library-level nondeterminism may still introduce minor variability, which is inherent to ML experimentation and was minimized but not entirely eliminated. Construct validityaddresses whether the selected metrics capture the intended constructs. Developer effort...</t>
  </si>
  <si>
    <t>Overall, the framework, validated for a localization use case, makes reproducible machine-learning-based model development practical, accessible, and extensible.</t>
  </si>
  <si>
    <t>Machine Learning: a Localization Use Case; Tim Strnad, Blaž Bertalani ˇc, and Carolina Fortuna (2025). A Configuration-First Framework for Reproducible, Low-Code Localization. arXiv:2510.25692v3 [cs.SE] 21 Jan 2026.</t>
  </si>
  <si>
    <t>P046</t>
  </si>
  <si>
    <t>46.Requirements Engineering for No-Code Development.pdf</t>
  </si>
  <si>
    <t>research paper\46.Requirements Engineering for No-Code Development.pdf</t>
  </si>
  <si>
    <t>10.1007/978-3-031-57327-9</t>
  </si>
  <si>
    <t>Requirements Engineering for No-Code Development (RE4NCD)</t>
  </si>
  <si>
    <t>A Case Study of Rapid Application Development During War; Meira Levy1,2(B) and Irit Hadar2; 1 Shenkar, College of Engineering, Design and Art, 5252626 Ramat Gan, Israel</t>
  </si>
  <si>
    <t>Requirements Engineering · No-Code Development · Rapid Development · War · Crisis 1</t>
  </si>
  <si>
    <t>. Context and motivation: In recent years, a new development approach has emerged, for rapid application development (RAD) supported by platforms that enable low or no-code development (NCD). This approach is designed for developers with limited or no coding expertise and for achieving a very short timeto-deployment. Question/problem: This research explores the process of RAD as performed with the Monday NCD platform. It focuses on the phases of requirement engineering (RE) and design, which are typically omitted during RAD, posing challenges in ensuring a rigorous, sustainable, and flexible application. Principal ideas/results: Addressing this gap, the paper introduces a proposed RE for NCD (RE4NCD) method, based on a case study in which a civilian management system was rapidly developed during a time of war, and proposes a research preview for further exploration and development of this research direction. Contribution: The paper highlights the theoretical and practical implications of RE4NCD, underscoring the potential transformative impact of NCD on the software development industry. It further proposes future research aimed at refining and validating the RE4NCD method, tracking the adoption and evolution of applications in diverse organizations, and applying the method to additional case studies for comprehensive evaluation and validation.</t>
  </si>
  <si>
    <t>Platform comparison; Professional developer role change; Productivity and speed</t>
  </si>
  <si>
    <t>While demonstrating these advantages, such development techniques suffer from several shortcomings. | 3.3 Development Procedure and Resulting Application The first meeting of the team started by introducing the main concepts of the volunteering organization, which includes the initiatives from the COVID pandemic, such as transportation to medical care, as well as many additional ones, addressing new challenges introduced by the war, such as finding accommodations for civilians evacuated 1 Mon...</t>
  </si>
  <si>
    <t>Rapid application development (RAD) and no-code development (NCD) platforms aim to provide drag-and-drop tools to enable users in a constrained domain to develop applications by assembling pre-coded components [ 5].</t>
  </si>
  <si>
    <t>PAR aims to solve a real-world problem by advanced research understanding, while ownership and control of the research process are transferred from an outsider’s view to a collaboration with the research participants [ 10].</t>
  </si>
  <si>
    <t>For example, the presentation screen can be divided into activities sent via WhatsApp for seeking volunteers, activities that are already allocated to volunteers, and activities that are done.</t>
  </si>
  <si>
    <t>The growth and increasing demand of digitization of businesses, many of which not having sufficient software engineering capacity to meet the demand, has led to an increasing adoption of the solutions of NCD platforms, with an estimation to be used in 65% of application development work by 2024 [ 11].</t>
  </si>
  <si>
    <t>This approach is designed for developers with limited or no coding expertise and for achieving a very short timeto-deployment.</t>
  </si>
  <si>
    <t>While demonstrating these advantages, such development techniques suffer from several shortcomings. | 3.3 Development Procedure and Resulting Application The first meeting of the team started by introducing the main concepts of the volunteering organization, which includes the initiatives from the COVID pandemic, such as transportation to medical care, as well as many additional ones, addressing new challenges introduced by the war, such as finding accommodations for civilians evacuated 1 Monday.com. | The implementation of this addition took about three hours, demonstrating the flexibility and robustness of the system.</t>
  </si>
  <si>
    <t>The reduction in code development provides us with several benefits, including reduction of software development cost, enhanced business agility [ 1], rapid iterations [ 11], and improved manufacturing capability [9]. | Following the testing results, several improvements were made, and the test environment was delivered and deployed within the volunteering organization and became the official system with which the volunteering operation is managed.</t>
  </si>
  <si>
    <t>Question/problem: This research explores the process of RAD as performed with the Monday NCD platform. | It focuses on the phases of requirement engineering (RE) and design, which are typically omitted during RAD, posing challenges in ensuring a rigorous, sustainable, and flexible application.</t>
  </si>
  <si>
    <t>For example, the developed systems may be difficult to update when new technical requirements are needed [ 4], and quality concerns, such as security, are yet to be fully addressed [ 1].</t>
  </si>
  <si>
    <t>4 The Proposed RE4NCD Method Based on the experience and insights we gained during the case study, Table 1 presents the steps and activities of RE4NCD, for achieving improved performance and resulting artifact of rapid NCD. | Whenever missing data was identified, it was inserted manually Create users and authorizations Nominate a team member that best knows the NCD platform for further enhancements over the application usage lifecycle Users were defined for the operators of the organization.</t>
  </si>
  <si>
    <t>Requirements Engineering for No-Code Development (RE4NCD) A Case Study of Rapid Application Development During War Meira Levy1,2(B) and Irit Hadar2 1 Shenkar, College of Engineering, Design and Art, 5252626 Ramat Gan, Israel lmeira@shenkar.ac.il 2 University of Haifa, City Campus, 3303220 Haifa, Israel Abstract.</t>
  </si>
  <si>
    <t>Following the testing results, several improvements were made, and the test environment was delivered and deployed within the volunteering organization and became the official system with which the volunteering operation is managed.</t>
  </si>
  <si>
    <t>Low and no-code software development has changed the dynamics of software engineering by introducing the capability of nonprofessional developers to rapidly build tools without having a programming background [ 9].</t>
  </si>
  <si>
    <t>Requirements were elicited and a system was developed and deployed over the course of two weeks.</t>
  </si>
  <si>
    <t>The reduction in code development provides us with several benefits, including reduction of software development cost, enhanced business agility [ 1], rapid iterations [ 11], and improved manufacturing capability [9].</t>
  </si>
  <si>
    <t>However, a literature review we performed in the field of RE did not yield research regarding the RE process of NCD.</t>
  </si>
  <si>
    <t>This team included one of the managers of the volunteering organization (“Kulanu Y achad”), a student who works in the organization as an operator, who receives the requests via phone calls and matches them with volunteers, and the first author, who joined the team as an RE expert.</t>
  </si>
  <si>
    <t>aimed at refining and validating the RE4NCD method, tracking the adoption and evolution of applications in diverse organizations, and applying the method to additional case studies for comprehensive evaluation and validation. Keywords: Requirements Engineering · No-Code Development · Rapid Development · War · Crisis 1 Introduction Research of requirements engineering (RE) in times of crisis, such as fire, flood, tsunami, or terrorist attack, is an emerging field that copes with the unique challenges of developing software systems that can deliver information for managing such events [ 13]. Rapid application development (RAD) and no-code development (NCD) platforms aim to provide drag-and-drop tools to enable users in a constrained domain to develop applications by assembling pre-coded components [ 5]. While this prototyping approach is very appealing for rapid development in a bottom-up manner by both expert and nonexpert developers, it requires applying the necessary rigorous techn...</t>
  </si>
  <si>
    <t>Contribution: The paper highlights the theoretical and practical implications of RE4NCD, underscoring the potential transformative impact of NCD on the software development industry.</t>
  </si>
  <si>
    <t>A Case Study of Rapid Application Development During War; Meira Levy1,2(B) and Irit Hadar2; 1 Shenkar, College of Engineering, Design and Art, 5252626 Ramat Gan, Israel (2010). Requirements Engineering for No-Code Development (RE4NCD). © The Author(s), under exclusive license to Springer Nature Switzerland AG 2024.</t>
  </si>
  <si>
    <t>https://doi.org/10.1007/978-3-031-57327-9</t>
  </si>
  <si>
    <t>P047</t>
  </si>
  <si>
    <t>47.Emerging New Roles for Low-Code Software Development.pdf</t>
  </si>
  <si>
    <t>research paper\47.Emerging New Roles for Low-Code Software Development.pdf</t>
  </si>
  <si>
    <t>10.1145/3652620.3688337</t>
  </si>
  <si>
    <t>Emerging New Roles for Low-Code Software Development Platforms</t>
  </si>
  <si>
    <t>Jean-Marie Mottu, Gerson Sunyé; Jean-Marie Mottu, Gerson Sunyé. Emerging New Roles for Low-Code Software Development Platforms. 5th; International Workshop on Modeling in Low-Code Development Platforms at the MODELS conference, Sep; 2024, Linz (AUSTRIA), Austria. ⟨10.1145/3652620.3688337⟩. ⟨hal-04742482⟩</t>
  </si>
  <si>
    <t>International Workshop on Modeling in Low-Code Development Platforms at the MODELS conference, Sep; ACM Reference Format:; Jean-Marie Mottu and Gerson Sunyé. 2024. Emerging New Roles for LowCode Software Development Platforms. In ACM/IEEE 27th International</t>
  </si>
  <si>
    <t>Low- and no-code development platforms have introduced two new development roles: the platform engineer and the citizen developer. While the former are still software developers who implement the low- and no-code platforms, the latter use them to develop their domain applications. In practice, however, we believe that the citizen developer role is shared by two people. For example, in the teaching domain, the citizen developer role is shared between a teacher and his assistant. The first is the domain practitioner, while the second is the domain engineer. The Domain Engineer uses the development platform to create a tailored platform for the teacher, who uses it to create an application that will be for his students, the end users. To explore the possibility of differentiate these two roles in current low-code development platforms, we used two different low-code platforms-Mendix and OutSystems-to implement two case studies. These case studies reveal the limitations of current platforms for specializing platforms with functionalities close to those of low-code development platforms. To compare these two platforms, we consider a list of features that these platforms must satisfy. The results show that current low-code development platforms cannot fully support these new roles. CCS CONCEPTS •Software and its engineering → Application specific development environments. ACM Reference Format: Jean-Marie Mottu and Gerson Sunyé. 2024. Emerging New Roles for LowCode Software Development Platforms. In ACM/IEEE 27th International Conference on Model Driven Engineering Languages an...</t>
  </si>
  <si>
    <t>Education and training; Citizen development; Integration</t>
  </si>
  <si>
    <t>These case studies reveal the limitations of current platforms for specializing platforms with functionalities close to those of low-code development platforms. | The results show that current low-code development platforms cannot fully support these new roles. | 5 CHALLENGES &amp; OPPORTUNITIES 5.1 Observed Limitations Our two case studies implemented on the top of Mendix and OutSystems, revealed some limitations of these platforms for creating a tailored NCDP, in the education and manufacturing...</t>
  </si>
  <si>
    <t>Copyright - All rights reserved Emerging New Roles for Low-Code Software Development Platforms Jean-Marie Mottu, Gerson Sunyé To cite this version: Jean-Marie Mottu, Gerson Sunyé.</t>
  </si>
  <si>
    <t>Emerging New Roles for Low-Code Software Development Platforms Jean-Marie Mottu jean-marie.mottu@ls2n.fr Nantes Université, IMT Atlantique, CNRS, LS2N, UMR 6004 Nantes, France Gerson Sunyé gerson.sunye@ls2n.fr Nantes Université, CNRS, LS2N, UMR 6004 Nantes, France ABSTRACT Low- and no-code development platforms have introduced two new development roles: the platform engineer and the citizen developer.</t>
  </si>
  <si>
    <t>healthcare; manufacturing; education; scientific; localization</t>
  </si>
  <si>
    <t>We consider two research questions: • RQ1: Is it possible to specialize an LCDP to a specific domain? • RQ2: Can an LCDP manage two roles of citizen developers? | At this point, we cannot answer the research questions positively, and to accomplish these goals, we would need to experiment with other LCDPs and other case studies.</t>
  </si>
  <si>
    <t>To this end, we develop two applications with the following criteria: (1) the distinction between the two citizen developer roles is explicit; (2) while there is already a dedicated development platform, it does not meet our needs.</t>
  </si>
  <si>
    <t>For example, while a teacher spends most of her time with students, preparing her lessons or evaluating their work (for example, through quizzes), educational engineers are focused on assisting teachers by creating new methods and tools.</t>
  </si>
  <si>
    <t>It migrates application development from manual coding using traditional programming languages to designing applications with graphical user interfaces, pre-built components, and parameters.</t>
  </si>
  <si>
    <t>These case studies reveal the limitations of current platforms for specializing platforms with functionalities close to those of low-code development platforms. | The results show that current low-code development platforms cannot fully support these new roles. | 5 CHALLENGES &amp; OPPORTUNITIES 5.1 Observed Limitations Our two case studies implemented on the top of Mendix and OutSystems, revealed some limitations of these platforms for creating a tailored NCDP, in the education and manufacturing domains.</t>
  </si>
  <si>
    <t>These development platforms generally help domain experts reduce the amount of code they need to write. | Increasing the domain specialization of a platform decreases the amount of code, indeed, but reduces the possibility to personalize the platform unless asking the help of developers, again.</t>
  </si>
  <si>
    <t>In practice, however, we believe that the citizen developer role is shared by two people. | These case studies reveal the limitations of current platforms for specializing platforms with functionalities close to those of low-code development platforms.</t>
  </si>
  <si>
    <t>They also manage the authorization processes required to access the application and ensure security.</t>
  </si>
  <si>
    <t>Reducing coding allows citizen developers to consider starting their development projects while keeping control over the development cycle.</t>
  </si>
  <si>
    <t>It helps a production systems engineer design machines and interactions between them, while production operators design machine assemblies and simulate their performance before physically reconfiguring a production line. | 5.2 Possible Improvements Recent years have witnessed a revolution in software development, characterized by the rise of low-code and no-code development approaches.</t>
  </si>
  <si>
    <t>Emerging New Roles for Low-Code Software Development Platforms MODELS Companion ’24, September 22-27, 2024, Linz, Austria • Improved Agility: Organizations gain the ability to build custom applications internally, enabling faster responses to changing market demands [2]. • Reduced Development Costs: Lower reliance on professional developers can lead to significant cost savings [15].</t>
  </si>
  <si>
    <t>2 BACKGROUND: DEMOCRATIZING SOFTW ARE DEVELOPMENT WITH LOW-CODE AND NO-CODE The traditional software development process has historically been the domain of professional developers with specialized programming skills.</t>
  </si>
  <si>
    <t>In practice, however, we believe that the citizen developer role is shared by two people.</t>
  </si>
  <si>
    <t>They outline the features that facilitate the selection and comparison of different LCDPs.</t>
  </si>
  <si>
    <t>To do this, we relied on the implementation of the education case study with the two LCDPs.</t>
  </si>
  <si>
    <t>PDF text extracted from 11 pages; sample evidence page: Not reported.</t>
  </si>
  <si>
    <t>of current platforms for specializing platforms with functionalities close to those of low-code development platforms. To compare these two platforms, we consider a list of features that these platforms must satisfy. The results show that current low-code development platforms cannot fully support these new roles. CCS CONCEPTS •Software and its engineering → Application specific development environments. ACM Reference Format: Jean-Marie Mottu and Gerson Sunyé. 2024. Emerging New Roles for LowCode Software Development Platforms. In ACM/IEEE 27th International Conference on Model Driven Engineering Languages and Systems (MODELS Companion ’24), September 22-27, 2024, Linz, Austria. ACM, New York, NY, USA, 10 pages. https://doi.org/10.1145/3652620.3688337 1 INTRODUCTION Low-code and no-code are growing development approaches supported by many platforms [15]. They bridge the gap between development and operations by supporting the active involvement of non-developer domain experts, called citizen developers, in the application development life cycle. Publication rights licensed to ACM. ACM</t>
  </si>
  <si>
    <t>in Section V. 2 BACKGROUND: DEMOCRATIZING SOFTW ARE DEVELOPMENT WITH LOW-CODE AND NO-CODE The traditional software development process has historically been the domain of professional developers with specialized programming skills. However, recent advances have led to low-code and no-code approaches that aim to democratize software development by empowering users with limited technical backgrounds. This section presents both approaches, highlighting their key features and potential benefits. 2.1 Low-Code Development: Reduce Coding Low-code development platforms provide a visual development environment that facilitates the creation of software applications with minimal coding [16]. These platforms target citizen developers, who are business users without formal software development training, but with domain expertise [ 13]. There are several key features [4] that make LCDPs suitable for these developers: • Visual Modeling: Logic and workflows are represented visually using drag-and-d...</t>
  </si>
  <si>
    <t>Jean-Marie Mottu, Gerson Sunyé; Jean-Marie Mottu, Gerson Sunyé. Emerging New Roles for Low-Code Software Development Platforms. 5th; International Workshop on Modeling in Low-Code Development Platforms at the MODELS conference, Sep; 2024, Linz (AUSTRIA), Austria. ⟨10.1145/3652620.3688337⟩. ⟨hal-04742482⟩ (2024). Emerging New Roles for Low-Code Software Development Platforms. International Workshop on Modeling in Low-Code Development Platforms at the MODELS conference, Sep; ACM Reference Format:; Jean-Marie Mottu and Gerson Sunyé. 2024. Emerging New Roles for LowCode Software Development Platforms. In ACM/IEEE 27th International.</t>
  </si>
  <si>
    <t>https://doi.org/10.1145/3652620.3688337</t>
  </si>
  <si>
    <t>P048</t>
  </si>
  <si>
    <t>48.Feasibility of Low-Code Development Platforms in Precision Agriculture Opportunities.pdf</t>
  </si>
  <si>
    <t>research paper\48.Feasibility of Low-Code Development Platforms in Precision Agriculture Opportunities.pdf</t>
  </si>
  <si>
    <t>10.3390/land13111758</t>
  </si>
  <si>
    <t>Feasibility of Low-Code Development Platforms in Precision Agriculture: Opportunities, Challenges, and Future Directions</t>
  </si>
  <si>
    <t>Precision Agriculture: Opportunities,; Challenges, and Future Directions.; Academic Editors: Safwan; Mohammed and Endre Harsányi</t>
  </si>
  <si>
    <t>Licensee MDPI, Basel, Switzerland.; Land 2024, 13, 1758. https://doi.org/10.3390/land13111758 https://www.mdpi.com/journal/land</t>
  </si>
  <si>
    <t>no code development platform; low code development platform; precision agriculture; software engineering; systematic literature review 1.</t>
  </si>
  <si>
    <t>Low-Code Development Platforms (LCDPs) empower users to create and deploy custom software with little to no programming. These platforms streamline development, offering benefits like faster time-to-market, reduced technical barriers, and broader participation in software creation, even for those without traditional coding skills. This study explores the application of LCDPs in Precision Agriculture (PA) through a systematic literature review (SLR). By analyzing the general characteristics and challenges of LCDPs, alongside insights from existing PA research, we assess their feasibility and potential impact in agricultural contexts. Our findings suggest that LCDPs can enable farmers and agricultural professionals to create tailored applications for real-time monitoring, data analysis, and automation, enhancing farming efficiency. However, challenges such as scalability, extensibility, data security, and integration with complex IoT systems must be addressed to fully realize the benefits of LCDPs in PA. This study contributes to the growing knowledge base in agricultural technology, offering valuable insights for researchers, practitioners, and policymakers looking to leverage LCDPs for sustainable and efficient farming practices.</t>
  </si>
  <si>
    <t>Domain-specific use</t>
  </si>
  <si>
    <t>Productivity and speed; AI and automation; Integration</t>
  </si>
  <si>
    <t>Our findings suggest that LCDPs can enable farmers and agricultural professionals to create tailored applications for real-time monitoring, data analysis, and automation, enhancing farming efficiency. | Initially, the review takes a broad approach to understand the general characteristics and challenges of LCDPs, synthesizing these findings. | Research on LCDPs is rather recent; therefore, findings were limited to the last ten years only.</t>
  </si>
  <si>
    <t>Feasibility of Low-Code Development Platforms in Precision Agriculture: Opportunities, Challenges, and Future Directions.</t>
  </si>
  <si>
    <t>low-code; citizen development</t>
  </si>
  <si>
    <t>We found many articles in the literature that used ‘low code’ approaches where code was written to solve individual software use cases, whereas our goal was to identify and focus on the body that provided the framework for predefined low-code development.</t>
  </si>
  <si>
    <t>healthcare; manufacturing; logistics; education; finance; agriculture; precision agriculture; climate; scientific; IoT</t>
  </si>
  <si>
    <t>This article is an open access article distributed under the terms and conditions of the Creative Commons Attribution (CC BY) license (https:// creativecommons.org/licenses/by/ 4.0/). land Article Feasibility of Low-Code Development Platforms in Precision Agriculture: Opportunities, Challenges, and Future Directions Emin Guresci 1 , Bedir Tekinerdogan 1,* , Önder Babur 1,2 and Qingzhi Liu 1 1 Information Technology Group, Wageningen University...</t>
  </si>
  <si>
    <t>Section 3 describes the results of the SLR giving answer to the research questions. | The research questions were identified in step 1 (Table 1), and the search technique and consequent search strings that were determined in step 2. | This was an iterative process in which we used the research questions</t>
  </si>
  <si>
    <t>Sources After Automated and Manual Search After Applying Selection Criteria ACM Digital Library 42 9 IEEE Xplore 42 20 Science Direct 121 1 Scopus 141 22 Wiley Online Library 26 0 Manual search 33 8 Total 405 60 Total after removing duplicates 44 The search string results are shown in the second column of Table 2, and the total number of studies acquired by performing the search query was 405 studies.</t>
  </si>
  <si>
    <t>Sources After Automated and Manual Search After Applying Selection Criteria ACM Digital Library 42 9 IEEE Xplore 42 20 Science Direct 121 1 Scopus 141 22 Wiley Online Library 26 0 Manual search 33 8 Total 405 60 Total after removing duplicates 44 The search string results are shown in the second column of Table 2, and the total number of studies acquired by performing the search query was 405 s...</t>
  </si>
  <si>
    <t>In step 3, we outlined the standards of the selection criteria (Table 3) by which we chose the primary studies by performing study selection (step 3.1).</t>
  </si>
  <si>
    <t>The term “platform” has been established in the industry to define entire environments or frameworks containing a variety of tools, components, and services for specific purposes.</t>
  </si>
  <si>
    <t>Sources After Automated and Manual Search After Applying Selection Criteria ACM Digital Library 42 9 IEEE Xplore 42 20 Science Direct 121 1 Scopus 141 22 Wiley Online Library 26 0 Manual search 33 8 Total 405 60 Total after removing duplicates 44 The search string results are shown in the second column of Table 2, and the total number of studies... | The database with the greatest number of studies provided was Scopus (141 studies), while the one with the fewest was Wiley Online Library (26 studies). | After using the snowballing method, and after eliminating duplicates, 60 articles were collected, which are represented in Table 2. | Selection Criteria 1 Papers that do not have full text available 2 Papers not written in English 3 A duplicate publication that was found in multiple sources 4 Papers that are brief (less than 4 pages) 5 Papers that do not relate to software development 6 Papers that do not relate to low code development platforms 7 Papers that do not validate t...</t>
  </si>
  <si>
    <t>This article is an open access article distributed under the terms and conditions of the Creative Commons Attribution (CC BY) license (https:// creativecommons.org/licenses/by/ 4.0/). land Article Feasibility of Low-Code Development Platforms in Precision Agriculture: Opportunities, Challenges, and Future Directions Emin Guresci 1 , Bedir Tekinerdogan 1,* , Önder Babur 1,2 and Qingzhi Liu 1 1 Information Technology Group, Wageningen University &amp; Research, 6708 PB Wageningen, The Netherlands;...</t>
  </si>
  <si>
    <t>Section 4 presents the discussion and explains the threats to validity of this research.</t>
  </si>
  <si>
    <t>This article is an open access article distributed under the terms and conditions of the Creative Commons Attribution (CC BY) license (https:// creativecommons.org/licenses/by/ 4.0/). land Article Feasibility of Low-Code Development Platforms in Precision Agriculture: Opportunities, Challenges, and Future Directions Emin Guresci 1 , Bedir Tekinerdogan 1,* , Önder Babur 1,2 and Qingzhi Liu 1 1 Information Technology Group, Wageningen University... | These platforms streamline development, offering benefits like faster time-to-market, reduced technical barriers, and broader participation in software creation, even for those without traditional coding skills.</t>
  </si>
  <si>
    <t>Feasibility of Low-Code Development Platforms in Precision Agriculture: Opportunities, Challenges, and Future Directions. | This article is an open access article distributed under the terms and conditions of the Creative Commons Attribution (CC BY) license (https:// creativecommons.org/licenses/by/ 4.0/). land Article Feasibility of Low-Code Development Platforms in Precision Agriculture: Opportunities, Challenges, and Future Directions Emin Guresci 1 , Bedir Tekinerdogan 1,* , Önder Babur 1,2 and Qingzhi Liu 1 1 Information Technology Group, Wageningen University...</t>
  </si>
  <si>
    <t>However, challenges such as scalability, extensibility, data security, and integration with complex IoT systems must be addressed to fully realize the benefits of LCDPs in PA.</t>
  </si>
  <si>
    <t>This study contributes to the growing knowledge base in agricultural technology, offering valuable insights for researchers, practitioners, and policymakers looking to leverage LCDPs for sustainable and efficient farming practices.</t>
  </si>
  <si>
    <t>However, challenges such as scalability, extensibility, data security, and integration with complex IoT systems must be addressed to fully realize the benefits of LCDPs in PA. | It was apparent that the term “platform” implies a more extensive and diverse environment for software development and maintenance.</t>
  </si>
  <si>
    <t>These platforms streamline development, offering benefits like faster time-to-market, reduced technical barriers, and broader participation in software creation, even for those without traditional coding skills.</t>
  </si>
  <si>
    <t>The robustness of the application can be verified by testing, which includes unit, integration, system, acceptance, regression, performance, and security testing.</t>
  </si>
  <si>
    <t>In Saudi Arabia, an online survey of 49 professional developers was conducted, with 19 of the participants using LCDP while the remaining 30 did not.</t>
  </si>
  <si>
    <t>Enabling Citizen Development Additionally, the objective for enabling citizen development is also applicable to PA for education and training [ 81].</t>
  </si>
  <si>
    <t>Emerging AI and ML Features Due to their capacity to automate processes, improve user experiences, and enhance decision-making, artificial intelligence (AI) and machine learning (ML) features in low-code development platforms are becoming increasingly significant.</t>
  </si>
  <si>
    <t>However, challenges include the high cost of technology, the need for skilled personnel, and complex data management [7,8].</t>
  </si>
  <si>
    <t>Developers can build apps in industries like finance, healthcare, and supply chain where transparency and trust are crucial by utilizing the decentralized characteristics of blockchain.</t>
  </si>
  <si>
    <t>PDF text extracted from 31 pages; sample evidence page: p. 5.</t>
  </si>
  <si>
    <t>have an overall impact that extends far beyond their specific scope. These constraints interact in a complex way, affecting the course of development and having a cumulative effect. This discussion highlights the importance of adopting a holistic perspective when approaching these platforms, emphasizing the need to address limitations not as isolated entities but rather as essential components within a larger development ecosystem. By understanding the implications and dynamics of these particular limitations, academics and organizations can navigate the low code landscape with higher productivity and strategic foresight. When creating agricultural software, it is crucial to consider the unique requirements and challenges that the agriculture industry encounters. User Interface and Experience and Delayed Learning Curve ‘Literacy Rate’ is mentioned in [77], meaning that literacy is a significant factor influencing the adoption ratio in PA. Farmers in regions with high illiteracy rates grow crops more likely depending on their experience. They do not use innovative agricultural technology, resulting in a loss of productivity. Farmers needs to be educated to grasp the technology, or rely on a third party for technical assistance. As a result of resource and education constraints, PA is not widely practiced in undeveloped communities with low literacy levels. As we identified ob...</t>
  </si>
  <si>
    <t>will focus on the selection of appropriate LCDPs and the development of applications specifically designed for PA. This will involve addressing identified challenges such as integration with IoT, improving scalability and adaptability, and refining the user experience. By advancing research in this area, LCDPs can play an important role in the digital transformation of precision agriculture, optimizing operations and contributing to the sustainability and technological advancement of the agricultural sector. Land 2024, 13, 1758 26 of 31 Author Contributions: Conceptualization, E.G., B.T., Ö.B. and Q.L.; Methodology, E.G., B.T., Ö.B. and Q.L.; Investigation, E.G., B.T., Ö.B. and Q.L.; Writing-original draft, E.G., B.T., Ö.B. and Q.L.; Writing-review &amp; editing, E.G., B.T. and Q.L.; Supervision, B.T. and Ö.B. All authors have read and agreed to the published version of the manuscript. Funding: This research received no external funding. Data Availability Statement: The original contrib...</t>
  </si>
  <si>
    <t>Precision Agriculture: Opportunities,; Challenges, and Future Directions.; Academic Editors: Safwan; Mohammed and Endre Harsányi (2024). Feasibility of Low-Code Development Platforms in Precision Agriculture: Opportunities, Challenges, and Future Directions. Licensee MDPI, Basel, Switzerland.; Land 2024, 13, 1758. https://doi.org/10.3390/land13111758 https://www.mdpi.com/journal/land.</t>
  </si>
  <si>
    <t>https://doi.org/10.3390/land13111758</t>
  </si>
  <si>
    <t>P049</t>
  </si>
  <si>
    <t>49.Rafi - Low‐Code and No‐Code Tools  A Valuable Aid or a Potential Threat to Professional Developers.pdf</t>
  </si>
  <si>
    <t>research paper\49.Rafi - Low‐Code and No‐Code Tools  A Valuable Aid or a Potential Threat to Professional Developers.pdf</t>
  </si>
  <si>
    <t>10.1002/spe.70067</t>
  </si>
  <si>
    <t>Low‐Code and No‐Code Tools: A Valuable Aid or a Potential Threat to Professional Developers?</t>
  </si>
  <si>
    <t>Low-CodeandNo-CodeTools:AValuableAidoraPotential; ThreattoProfessionalDevelopers?; SaimaRafi1 | MuhammadAzeemAkbar 2 | SajjadMahmood3; 1SchoolofComputingandEngineeringandtheBuiltEnvironment,EdinburghNapierUniversity,Edinburgh,Scotland,UK | 2SoftwareEngineering</t>
  </si>
  <si>
    <t>low-code/no-codetools | professionaldevelopers | systematicmappingstudy</t>
  </si>
  <si>
    <t>Background: Therapidadoptionoflow-code(LC)andno-code(NC)toolshastransformedthesoftwaredevelopmentlandscape, offeringfasterdevelopmentcyclesandenablingnon-programmerstocontributetosoftwarecreation. Objective: ThisstudysystematicallymapstheeffectsofLC/NCtoolsondevelopers,addressingthecriticalneedtounderstand whetherthesetoolsserveasavaluableaidorapotentialthreattotheirroles. Methods: By analyzing how LC/NC tools support development processes, the challenges they present, and their potential to replacetraditionaldevelopers,thisresearchfillsakeyknowledgegapbyperformingasystematicmappingstudy. Results: ThefindingsrevealthatwhileLC/NCtoolssimplifycertaintasks,theydonotreplacetheneedforprofessionaldevelopers tohandlecomplextechnicalchallenges,changemanagement,andsystemintegration. Conclusions: Ratherthanposingathreat,thesetoolscomplementandenhancedevelopers’expertise,empoweringthemtofocus onmoreadvancedaspectsofsoftwarecreation.Thisstudyprovidesvaluableinsightsfortheprofessionaldevelopercommunityand thebroadersoftwareindustry,advocatingforthethoughtfulintegr ationofLC/NCtoolsaspowerfulaidsratherthancompetitors toprofessionaldevelopment. 1 |</t>
  </si>
  <si>
    <t>Professional developer role change; Vendor lock-in; Citizen development</t>
  </si>
  <si>
    <t>Results: ThefindingsrevealthatwhileLC/NCtoolssimplifycertaintasks,theydonotreplacetheneedforprofessionaldevelopers tohandlecomplextechnicalchallenges,changemanagement,andsystemintegration. | Inaddition,wefoundanotherrelatedterm,no-codedevelopment platforms (NCDP), in existing studies where GUI interfaces are usedtodesignanapplicationplatformbydraganddropoptions, withnoprogrammingskills[ 23].WiththisgrowthrateofLC/NC tools, we can now find various LC/NC tools incorporating;software as a servic...</t>
  </si>
  <si>
    <t>2 | BackgroundandRelatedWork 2.1 | Terms,Events,andDefinitions The LC technology has its roots in early 2000s with the rise in rapid application development (RAD) allowing users to build fasterandwithlesscodingeffort.Bythe2010s,itbecameamainstreamtechnologyembracedbyorganizationsofallkindsforits abilitytospeedupdevelopmentandcostreduction[ 16].AccordingtoForrestertheterm“lowcodedevelopment”wasfirstused in2011,studyonnewproductivitytoolsforbuildingcustomized apps[17].Thefirstno-codetool,called...</t>
  </si>
  <si>
    <t>low-code; no-code; citizen development; model-driven engineering</t>
  </si>
  <si>
    <t>Sahay et al. [3] analyzed business processmanagementcapabilitiesoflow-codedevelopmentplatformstoguideend-usershowtomakeselectivedecisionswhile usingthesetools.Chaudharyetal.[ 30]presentedadesignframeworkofLCtosimplifythedevelopmentofIoTapplications.They used EdgeX foundry as an example of an integration platform to test their model, and the results were entirely satisfactory.</t>
  </si>
  <si>
    <t>SaimaRafi1 | MuhammadAzeemAkbar 2 | SajjadMahmood3 1SchoolofComputingandEngineeringandtheBuiltEnvironment,EdinburghNapierUniversity,Edinburgh,Scotland,UK | 2SoftwareEngineering Department,Lappeenranta-LahtiUniversityofTechnology,Lappeenranta,Finland | 3InformationandComputerScienceDepartment,Interdisciplinary ResearchCenterforIntelligentSecureSystems,KingFahdUniversityofPetroleumandMinerals,Dhahran,SaudiArabia Correspondence: SaimaRafi( s.rafi...</t>
  </si>
  <si>
    <t>This researchwilladdressthefollowingresearchquestions: RQ1. | This mapping study follows a conceptual-to-empirical design, in which the predefined research questions and conceptual framing of LC/NC tools-as aids, challenges, or threats to professional developers-guided the empirical analysis of selected studies. | 3.2 | ResearchQuestions In the next step, we designed the research questions to review and summarize the current state of LC tools in the context of professionaldevelopers.Therefore,thefollowingresearchquestionsareformulated: RQ1.</t>
  </si>
  <si>
    <t>We ended up with 20 studies from a selected dataset that answeredRQ3,asshowninFigure 2.Wefoundexcitingresultsfor 810 Software:PracticeandExperience ,2026 1097024x, 2026, 6, Downloaded from https://onlinelibrary.wiley.com/doi/10.1002/spe.70067, Wiley Online Library on [11/06/2026].</t>
  </si>
  <si>
    <t>Finally, based on our protocols, 45 studies were shortlisted.</t>
  </si>
  <si>
    <t>This mapping study follows a conceptual-to-empirical design, in which the predefined research questions and conceptual framing of LC/NC tools-as aids, challenges, or threats to professional developers-guided the empirical analysis of selected studies.</t>
  </si>
  <si>
    <t>We selected the time frame from 2014 to 2025 as the term “low-code” was first coined in 2014 [17], and we did not find articles before 2014 in context to our study objectives.</t>
  </si>
  <si>
    <t>Software:PracticeandExperience RESEARCHARTICLE OPEN ACCESS Low-CodeandNo-CodeTools:AValuableAidoraPotential ThreattoProfessionalDevelopers?</t>
  </si>
  <si>
    <t>Similarly,Gartnerprojectsthatby2025,70%ofnewapplications developedbyorganizationswilluseLC/NCtechnologies[ 9]. | This growth of adopting LC/NC tools continues and accordingtotwosurveysbyForrester,23%ofdevelopersin2018 and 37% of developers in 2019 reported using LC/NC tools in theirenterprises[ 23,24].In2021,manycloudservicesproviders claimed to facilitate with LCPDs. | Finally, based on our protocols, 45 studies were shortlisted. | The results indicate that a high percentage of studies answered the formulated research questions, with 35 out of 38 (92%) studies answeringRQ1,26outof38(68%)studiesansweringRQ2,and13 outof38(52%)studiesansweringRQ3.Avisualrepresentationof thesefindingsisshowninFigure 2.</t>
  </si>
  <si>
    <t>These contrasting perceptions-between the optimism surroundingefficiencygainsandtheapprehensionaboutprofessionaldisplacement-underscoretheneedforadeeperempiricalunderstandingofwhetherLC/NCtoolsserveasvaluableaids orposepotentialthreatstothesoftwaredevelopmentpracticesof developers.Motivatedbythisgap,ourstudyobjectivesistosystematically review the literature on LC/NC development tools, focusingonthreekeyareas:identifytheextenttowhichLC/NC toolsserveasaidstoprofessionaldevelopers,categorizethes...</t>
  </si>
  <si>
    <t>We discussed the results in Section5, answering the key pointsofthisresearch,andthreats,validity,andconclusionabout thisstudyareinSections 6and7.</t>
  </si>
  <si>
    <t>Results: ThefindingsrevealthatwhileLC/NCtoolssimplifycertaintasks,theydonotreplacetheneedforprofessionaldevelopers tohandlecomplextechnicalchallenges,changemanagement,andsystemintegration. | Inaddition,wefoundanotherrelatedterm,no-codedevelopment platforms (NCDP), in existing studies where GUI interfaces are usedtodesignanapplicationplatformbydraganddropoptions, withnoprogrammingskills[ 23].WiththisgrowthrateofLC/NC tools, we can now find various LC/NC tools incorporating;software as a service(SaaS) andplatform as a service(PaaS) and hence, providing solutions for the IT industry to reduce developmenttime[ 26].ThemostdemandedLC/NCtoolsavailablein the market are Zapier, Amazon App... | Sahay et al. [3] analyzed business processmanagementcapabilitiesoflow-codedevelopmentplatformstoguideend-usershowtomakeselectivedecisionswhile usingthesetools.Chaudharyetal.[ 30]presentedadesignframeworkofLCtosimplifythedevelopmentofIoTapplications.They used EdgeX foundry as an example of an integration platform to test their model, and the results were entirely satisfactory.</t>
  </si>
  <si>
    <t>SaimaRafi1 | MuhammadAzeemAkbar 2 | SajjadMahmood3 1SchoolofComputingandEngineeringandtheBuiltEnvironment,EdinburghNapierUniversity,Edinburgh,Scotland,UK | 2SoftwareEngineering Department,Lappeenranta-LahtiUniversityofTechnology,Lappeenranta,Finland | 3InformationandComputerScienceDepartment,Interdisciplinary ResearchCenterforIntelligentSecureSystems,KingFahdUniversityofPetroleumandMinerals,Dhahran,SaudiArabia Correspondence: SaimaRafi( s.rafi... | Conclusions: Ratherthanposingathreat,thesetoolscomplementandenhancedevelopers’expertise,empoweringthemtofocus onmoreadvancedaspectsofsoftwarecreation.Thisstudyprovidesvaluableinsightsfortheprofessionaldevelopercommunityand thebroadersoftwareindustry,advocatingforthethoughtfulintegr ationofLC/NCtoolsaspowerfulaidsratherthancompetitors toprofessionaldevelopment.</t>
  </si>
  <si>
    <t>Methods: By analyzing how LC/NC tools support development processes, the challenges they present, and their potential to replacetraditionaldevelopers,thisresearchfillsakeyknowledgegapbyperformingasystematicmappingstudy. | Results: ThefindingsrevealthatwhileLC/NCtoolssimplifycertaintasks,theydonotreplacetheneedforprofessionaldevelopers tohandlecomplextechnicalchallenges,changemanagement,andsystemintegration.</t>
  </si>
  <si>
    <t>Gartneralsointroducedenterprise low-codeapplicationplatforms (LCAPs) that aim to produce high performance, scalability, and security, including technical support from the service provider [21].</t>
  </si>
  <si>
    <t>In many enterprises to date, the transformation process of software development from requirement elicitation to design and deployment is done mainly by manual coding; however, with LC/NC tools support, professional developers canreduce the complexity and effortofperformingmanualtasks .Wealsocameacrossaninteresting finding reported in one study, which noted that professional developers first assess thetype or level of a taskto determinewhetheraLCtoolisanappropriatesolution.Threestudies mentionedthatLC/NCtoolsalsohelptomanage ITgovernance.</t>
  </si>
  <si>
    <t>Gartneralsointroducedenterprise low-codeapplicationplatforms (LCAPs) that aim to produce high performance, scalability, and security, including technical support from the service provider [21]. | However, people need to learn the challenges from the perspective of professional developerswhileusingthesetools.SomedevelopersconsiderLC/NC toolsasasolutionformaintainabilityinthedevelopmentcycle.</t>
  </si>
  <si>
    <t>SaimaRafi1 | MuhammadAzeemAkbar 2 | SajjadMahmood3 1SchoolofComputingandEngineeringandtheBuiltEnvironment,EdinburghNapierUniversity,Edinburgh,Scotland,UK | 2SoftwareEngineering Department,Lappeenranta-LahtiUniversityofTechnology,Lappeenranta,Finland | 3InformationandComputerScienceDepartment,Interdisciplinary ResearchCenterforIntelligentSecureSystems,KingFahdUniversityofPetroleumandMinerals,Dhahran,SaudiArabia Correspondence: SaimaRafi( s.rafi@napier.ac.uk) Received:19September2024 | Revised:8November2025 | Accepted:24March2026 Keywords:low-...</t>
  </si>
  <si>
    <t>For example, there is a lack of customization support by LC tools [5], limited testing components due to the graphical nature of LC tools [6], and so forth.</t>
  </si>
  <si>
    <t>The contributions of this study clarify misconceptions,providinginsightsintotheevolvingroleofprofessional developers in a LC/NC world and guiding the thoughtful integration of LC/NC tools in modern software development.</t>
  </si>
  <si>
    <t>In addition, there are five studies where researchers discussed thattraining and skill developmentareoptionalforLC/NCtools;therefore,developersshould bereassuredaboutlearningnewlanguagestoadoptLC/NCtools’ user-friendlynaturehelpsprofessionaldevelopersLC/NCtools’ user-friendlynaturehelpsprofessionaldevelopers focusonlogic andflow withnoburdenofwritingcomplexlinesofcode.</t>
  </si>
  <si>
    <t>Software:PracticeandExperience publishedbyJohnWiley&amp;SonsLtd. to save time and costs and will enable them to accelerate their software development by bringing business and information technologies together and promoting automation [4].</t>
  </si>
  <si>
    <t>They summarized their study by stating that both terms aspire to improve the software development process, but, indeed, they are not the this dissimilarity is becausethatnotallmodel-drivenapproachesaimtoreducecode.</t>
  </si>
  <si>
    <t>Similarly, Forrester Wave’s report highlighted that more than 42 LC/NC development tool vendors are structured as; platform as a service (PaaS) and provide services for developing web-based applications and mobile apps [12].</t>
  </si>
  <si>
    <t>PDF text extracted from 18 pages; sample evidence page: p. 5.</t>
  </si>
  <si>
    <t>No explicit author limitations section found in parsed text; Research method not explicitly identified</t>
  </si>
  <si>
    <t>To address this gap, we conducted a systematic mapping study to examine the broader implications of LC/NC tools from the developers’ perspective.</t>
  </si>
  <si>
    <t>limitations not found</t>
  </si>
  <si>
    <t>Low-CodeandNo-CodeTools:AValuableAidoraPotential; ThreattoProfessionalDevelopers?; SaimaRafi1 | MuhammadAzeemAkbar 2 | SajjadMahmood3; 1SchoolofComputingandEngineeringandtheBuiltEnvironment,EdinburghNapierUniversity,Edinburgh,Scotland,UK | 2SoftwareEngineering (2026). Low‐Code and No‐Code Tools: A Valuable Aid or a Potential Threat to Professional Developers?.</t>
  </si>
  <si>
    <t>https://doi.org/10.1002/spe.70067</t>
  </si>
  <si>
    <t>P050</t>
  </si>
  <si>
    <t>50.Explaining AI Without Code.pdf</t>
  </si>
  <si>
    <t>research paper\50.Explaining AI Without Code.pdf</t>
  </si>
  <si>
    <t>Explaining AI Without Code: A User Study on Explainable AI</t>
  </si>
  <si>
    <t>Natalia Abarca; Andrés Carvallo; CENIA - National Center for Artificial Intelligence; Claudia López Moncada</t>
  </si>
  <si>
    <t>Proceedings of the LatinX in AI Workshop @ NeurIPS-25.; arXiv:2602.11159v1 [cs.AI] 28 Dec 2025</t>
  </si>
  <si>
    <t>The increasing use of Machine Learning (ML) in sensitive domains such as healthcare, finance, and public policy has raised concerns about the transparency of automated decisions. Explainable AI (XAI) addresses this by clarifying how models generate predictions, yet most methods demand technical expertise, limiting their value for novices. This gap is especially critical in no-code ML platforms, which seek to democratize AI but rarely include explainability. We present a human-centered XAI module in DashAI, an open-source no-code ML platform. The module integrates three complementary techniques, which are Partial Dependence Plots (PDP), Permutation Feature Importance (PFI), and KernelSHAP, into DashAI’s workflow for tabular classification. A user study (N= 20 ; ML novices and experts) evaluated usability and the impact of explanations. Results show: (i) high task success ( ≥80% ) across all explainability tasks; (ii) novices rated explanations as useful, accurate, and trustworthy on the Explanation Satisfaction Scale (ESS, Cronbach’sα = 0.74, a measure of internal consistency), while experts were more critical of sufficiency and completeness; and (iii) explanations improved perceived predictability and confidence on Trust in Automation (TiA,α = 0.60), with novices showing higher trust than experts. These findings highlight a central challenge for XAI in no-code ML, making explanations both accessible to novices and sufficiently detailed for experts. Proceedings of the LatinX in AI Workshop @ NeurIPS-25. arXiv:2602.11159v1 [cs.AI] 28 Dec 2025</t>
  </si>
  <si>
    <t>Explaining AI Without Code: A User Study on Explainable AI Natalia Abarca Department of Computer Science, University of Chile natalia.abarca@ug.uchile.cl Andrés Carvallo CENIA - National Center for Artificial Intelligence andres.carvallo@cenia.cl Claudia López Moncada Universidad Técnica Federico Santa María CENIA - National Center for Artificial Intelligence clopez@inf.utfsm.cl Felipe Bravo-Marquez Department of Computer Science, University of Chile CENIA - National Center for Artificial Int...</t>
  </si>
  <si>
    <t>This gap is especially critical in no-code ML platforms, which seek to democratize AI but rarely include explainability.</t>
  </si>
  <si>
    <t>To this end, several studies have proposed design guidelines and evaluation frameworks for human-centered XAI, incorporating measures such as the System Usability Scale (SUS), Explanation Satisfaction Scale (ESS), and Trust in Automation (TiA) [Kong et al., 2024, Mohseni et al., 2018, Rong et al., 2022].</t>
  </si>
  <si>
    <t>healthcare; finance</t>
  </si>
  <si>
    <t>In parallel,no-code ML solutionshave emerged to democratize AI by allowing users to train and deploy models through graphical interfaces [Sundberg and Holmström, 2023, Li and Wu, 2022].</t>
  </si>
  <si>
    <t>The home screen (Figure 1) offers access to the core modules:Datasets,Experiments,Predictions,Explainers, andPlugins.</t>
  </si>
  <si>
    <t>4 User Study 4.1 Study Design We conducted a between-subjects user study with N= 20 participants (Novices n= 10 , Experts n= 10 ) to evaluate theexplainability moduleof DashAI.</t>
  </si>
  <si>
    <t>Despite advances, most methods remain isolated tools that require programming expertise, limiting adoption in real-world workflows [Karim et al., 2022].</t>
  </si>
  <si>
    <t>Results show: (i) high task success ( ≥80% ) across all explainability tasks; (ii) novices rated explanations as useful, accurate, and trustworthy on the Explanation Satisfaction Scale (ESS, Cronbach’sα = 0.74, a measure of internal consistency), while experts were more critical of sufficiency and completeness; and (iii) explanations improved pe... | 4 User Study 4.1 Study Design We conducted a between-subjects user study with N= 20 participants (Novices n= 10 , Experts n= 10 ) to evaluate theexplainability moduleof DashAI. | 5 Results Task success.All explainability tasks achieved ≥80% success (Table 1), indicating good usability of the module. | In sum, the study shows that: (i) the explainability module was usable, with high task success rates (≥80%); (ii) ESS results confirmed high perceived usefulness, accuracy, and moderate trust, with novices rating explanations more positively than experts; and (iii) TiA responses, though less reliable, suggest that explainability enhanced perceiv...</t>
  </si>
  <si>
    <t>A user study (N= 20 ; ML novices and experts) evaluated usability and the impact of explanations.</t>
  </si>
  <si>
    <t>Task ID Description Success (%) T7 Open explainability dashboard 100 T8 Generate and analyze PFI 100 T9 Generate and analyze PDP 90 T10 Generate and analyze KernelSHAP 80 T11 Compare PDP, PFI, and KernelSHAP 90 Reliability and statistical methods.To ensure validity of questionnaire data, we first assessed internal consistency of the ESS and TiA using Cronbach’s alpha, a standard reliability coefficient.</t>
  </si>
  <si>
    <t>Explaining AI Without Code: A User Study on Explainable AI Natalia Abarca Department of Computer Science, University of Chile natalia.abarca@ug.uchile.cl Andrés Carvallo CENIA - National Center for Artificial Intelligence andres.carvallo@cenia.cl Claudia López Moncada Universidad Técnica Federico Santa María CENIA - National Center for Artificial Intelligence clopez@inf.utfsm.cl Felipe Bravo-Marquez Department of Computer Science, University of Chile CENIA - National Center for Artificial Int... | Results show: (i) high task success ( ≥80% ) across all explainability tasks; (ii) novices rated explanations as useful, accurate, and trustworthy on the Explanation Satisfaction Scale (ESS, Cronbach’sα = 0.74, a measure of internal consistency), while experts were more critical of sufficiency and completeness; and (iii) explanations improved perceived predictability and confidence on Trust in Automation (TiA,α = 0.60), with novices showing higher trust than experts. | These findings highlight a central challenge for XAI in no-code ML, making explanations both accessible to novices and sufficiently detailed for experts.</t>
  </si>
  <si>
    <t>Results show: (i) high task success ( ≥80% ) across all explainability tasks; (ii) novices rated explanations as useful, accurate, and trustworthy on the Explanation Satisfaction Scale (ESS, Cronbach’sα = 0.74, a measure of internal consistency), while experts were more critical of sufficiency and completeness; and (iii) explanations improved perceived predictability and confidence on Trust in Automation (TiA,α = 0.60), with novices showing hi... | Early work has shown that local explanation methods such as LIME [Ribeiro et al., 2016] and SHAP [Sundararajan and Najmi, 2020] can improve users’ ability to understand model predictions [Sathyan et al., 2022, Ma et al., 2023, Chiesa-Estomba et al., 2023].</t>
  </si>
  <si>
    <t>Explaining AI Without Code: A User Study on Explainable AI Natalia Abarca Department of Computer Science, University of Chile natalia.abarca@ug.uchile.cl Andrés Carvallo CENIA - National Center for Artificial Intelligence andres.carvallo@cenia.cl Claudia López Moncada Universidad Técnica Federico Santa María CENIA - National Center for Artificial Intelligence clopez@inf.utfsm.cl Felipe Bravo-Marquez Department of Computer Science, University o... | These findings highlight a central challenge for XAI in no-code ML, making explanations both accessible to novices and sufficiently detailed for experts.</t>
  </si>
  <si>
    <t>Explaining AI Without Code: A User Study on Explainable AI Natalia Abarca Department of Computer Science, University of Chile natalia.abarca@ug.uchile.cl Andrés Carvallo CENIA - National Center for Artificial Intelligence andres.carvallo@cenia.cl Claudia López Moncada Universidad Técnica Federico Santa María CENIA - National Center for Artificial Intelligence clopez@inf.utfsm.cl Felipe Bravo-Marquez Department of Computer Science, University of Chile CENIA - National Center for Artificial Intelligence IMFD - Millennium Institute for Foundati...</t>
  </si>
  <si>
    <t>3b) ranks features by estimating the performance drop 4</t>
  </si>
  <si>
    <t>Platforms such as Google Cloud AutoML, H2O Driverless AI, Orange3, KNIME, and RapidMiner are increasingly used by business analysts, domain experts, and educators.</t>
  </si>
  <si>
    <t>The system provides a graphical user interface that guides users through the complete ML workflow without requiring programming skills or advanced expertise in statistics or computer science.</t>
  </si>
  <si>
    <t>(a) Experiment configuration and training module.</t>
  </si>
  <si>
    <t>Explaining AI Without Code: A User Study on Explainable AI Natalia Abarca Department of Computer Science, University of Chile natalia.abarca@ug.uchile.cl Andrés Carvallo CENIA - National Center for Artificial Intelligence andres.carvallo@cenia.cl Claudia López Moncada Universidad Técnica Federico Santa María CENIA - National Center for Artificial Intelligence clopez@inf.utfsm.cl Felipe Bravo-Marquez Department of Computer Science, University of Chile CENIA - National Center for Artificial Intelligence IMFD - Millennium Institute for Foundational Research on Data fbravo@dcc.uchile.cl Abstract The increasing use of Machine Learning (ML) in sensitive domains such as healthcare, finance, and public policy has raised concerns about the transparency of automated decisions.</t>
  </si>
  <si>
    <t>Most errors occurred in T9-T11, typically during generation, analysis and comparison for local (KernelSHAP) and global explanations.</t>
  </si>
  <si>
    <t>PDF text extracted from 12 pages; sample evidence page: p. 5.</t>
  </si>
  <si>
    <t>will extend this approach to explanations for large language models (LLMs), focusing on reasoning processes and interactive, context-aware interpretability to better support diverse user needs.</t>
  </si>
  <si>
    <t>Natalia Abarca; Andrés Carvallo; CENIA - National Center for Artificial Intelligence; Claudia López Moncada (2025). Explaining AI Without Code: A User Study on Explainable AI. Proceedings of the LatinX in AI Workshop @ NeurIPS-25.; arXiv:2602.11159v1 [cs.AI] 28 Dec 2025.</t>
  </si>
  <si>
    <t>Quote_ID</t>
  </si>
  <si>
    <t>Theme_Code</t>
  </si>
  <si>
    <t>Claim_Type</t>
  </si>
  <si>
    <t>Exact_Quote</t>
  </si>
  <si>
    <t>Page_Number</t>
  </si>
  <si>
    <t>PDF_Section</t>
  </si>
  <si>
    <t>Paraphrase</t>
  </si>
  <si>
    <t>Interpretation</t>
  </si>
  <si>
    <t>How_It_Can_Be_Used_In_Review</t>
  </si>
  <si>
    <t>Supports_or_Challenges</t>
  </si>
  <si>
    <t>Related_Papers</t>
  </si>
  <si>
    <t>Confidence_1_5</t>
  </si>
  <si>
    <t>Needs_Human_Check</t>
  </si>
  <si>
    <t>Notes</t>
  </si>
  <si>
    <t>P001-Q01</t>
  </si>
  <si>
    <t>Theme assignment</t>
  </si>
  <si>
    <t>Abstract/Introduction</t>
  </si>
  <si>
    <t>Evidence related to AI and automation.</t>
  </si>
  <si>
    <t>Quote contains signal 'artificial intelligence' for theme AI_AUTOMATION.</t>
  </si>
  <si>
    <t>Use as evidence in the Findings/Future section.</t>
  </si>
  <si>
    <t>Supports</t>
  </si>
  <si>
    <t>Yes</t>
  </si>
  <si>
    <t>Exact quote normalized from PDF text extraction; verify against PDF layout for publication use.</t>
  </si>
  <si>
    <t>P001-Q02</t>
  </si>
  <si>
    <t>Method/Approach</t>
  </si>
  <si>
    <t>Evidence related to Quality assurance and testing.</t>
  </si>
  <si>
    <t>Quote contains signal 'testing' for theme QUALITY_TESTING.</t>
  </si>
  <si>
    <t>Use as evidence in the Findings section.</t>
  </si>
  <si>
    <t>P001-Q03</t>
  </si>
  <si>
    <t>Published as a conference paper at ICLR 2026 Figure 1: Comparison between three code generation paradigms: Single LLM generator, multi-agent role playing and the proposed Bayesian adversarial multi-agent framework. constrain the performance ceiling of LLM-based coding platforms, as their capabilities are inherently bounded by the underlying LLM’s intelligence level.</t>
  </si>
  <si>
    <t>Limitations/Validity</t>
  </si>
  <si>
    <t>Evidence related to Platform comparison.</t>
  </si>
  <si>
    <t>Quote contains signal 'comparison' for theme PLATFORM_COMPARISON.</t>
  </si>
  <si>
    <t>P001-Q04</t>
  </si>
  <si>
    <t>Method</t>
  </si>
  <si>
    <t>Our framework employs three agents in a recursive loop that adversarially co-optimizes the generated solutions, the test cases used for evaluation, and the prompts driving generation.</t>
  </si>
  <si>
    <t>Supports the extracted method/design field.</t>
  </si>
  <si>
    <t>P002-Q01</t>
  </si>
  <si>
    <t>Evidence related to Model-driven / visual programming roots.</t>
  </si>
  <si>
    <t>Quote contains signal 'model-driven' for theme MDE_VISUAL_PROGRAMMING.</t>
  </si>
  <si>
    <t>Use as evidence in the Background section.</t>
  </si>
  <si>
    <t>P002-Q02</t>
  </si>
  <si>
    <t>Quote contains signal 'ai' for theme AI_AUTOMATION.</t>
  </si>
  <si>
    <t>P002-Q03</t>
  </si>
  <si>
    <t>Evidence related to Maintainability.</t>
  </si>
  <si>
    <t>Quote contains signal 'extensibility' for theme MAINTAINABILITY.</t>
  </si>
  <si>
    <t>P002-Q04</t>
  </si>
  <si>
    <t>View components are mapped to React components including data tables, interactive forms, method invocation buttons, and chart visualizations.</t>
  </si>
  <si>
    <t>Conclusion/Future work</t>
  </si>
  <si>
    <t>P003-Q01</t>
  </si>
  <si>
    <t>P003-Q02</t>
  </si>
  <si>
    <t>P003-Q03</t>
  </si>
  <si>
    <t>This paper presents a systematic literature review examining how generative no-code systems make design and aesthetic decisions with respect to layout structure, visual consistency, usability, accessibility, and reproducibility.</t>
  </si>
  <si>
    <t>Evidence related to Usability and user experience.</t>
  </si>
  <si>
    <t>Quote contains signal 'usability' for theme USABILITY_UX.</t>
  </si>
  <si>
    <t>P003-Q04</t>
  </si>
  <si>
    <t>P004-Q01</t>
  </si>
  <si>
    <t>P004-Q02</t>
  </si>
  <si>
    <t>Results/Evaluation</t>
  </si>
  <si>
    <t>P004-Q03</t>
  </si>
  <si>
    <t>Quote contains signal 'reliability' for theme QUALITY_TESTING.</t>
  </si>
  <si>
    <t>P004-Q04</t>
  </si>
  <si>
    <t>P005-Q01</t>
  </si>
  <si>
    <t>P005-Q02</t>
  </si>
  <si>
    <t>P005-Q03</t>
  </si>
  <si>
    <t>This limitation hinders the reproducibility and scalability of few-shot evaluation across different platforms.Baidu Qianfanhas a strict</t>
  </si>
  <si>
    <t>Evidence related to Scalability.</t>
  </si>
  <si>
    <t>Quote contains signal 'scalability' for theme SCALABILITY.</t>
  </si>
  <si>
    <t>P005-Q04</t>
  </si>
  <si>
    <t>P006-Q01</t>
  </si>
  <si>
    <t>P006-Q02</t>
  </si>
  <si>
    <t>Evidence related to Education and training.</t>
  </si>
  <si>
    <t>Quote contains signal 'students' for theme EDUCATION.</t>
  </si>
  <si>
    <t>P006-Q03</t>
  </si>
  <si>
    <t>Evidence related to Governance and control.</t>
  </si>
  <si>
    <t>Quote contains signal 'policy' for theme GOVERNANCE.</t>
  </si>
  <si>
    <t>P006-Q04</t>
  </si>
  <si>
    <t>P007-Q01</t>
  </si>
  <si>
    <t>P007-Q02</t>
  </si>
  <si>
    <t>P007-Q03</t>
  </si>
  <si>
    <t>Quote contains signal 'training' for theme EDUCATION.</t>
  </si>
  <si>
    <t>P007-Q04</t>
  </si>
  <si>
    <t>For evaluation, we labeled about a thousand workflows coming from ten domains (around 100 per domain).</t>
  </si>
  <si>
    <t>P008-Q01</t>
  </si>
  <si>
    <t>P008-Q02</t>
  </si>
  <si>
    <t>P008-Q03</t>
  </si>
  <si>
    <t>NoCode-bench and its verified subset can serve as valuable resources for advancing research in LLM-based software engineering (SE), especially for no-code feature addition.</t>
  </si>
  <si>
    <t>Quote contains signal 'llm' for theme AI_AUTOMATION.</t>
  </si>
  <si>
    <t>P008-Q04</t>
  </si>
  <si>
    <t>NoCode-bench: A Benchmark for Evaluating Natural Language-Driven Feature Addition Le Deng∗ The State Key Laboratory of Blockchain and Data Security, Zhejiang University Hangzhou, China dengle@zju.edu.cn Zhonghao Jiang∗ The State Key Laboratory of Blockchain and Data Security, Zhejiang University Hangzhou, China zhonghao.j@zju.edu.cn Jialun Cao The Hong Kong University of Science and Technology Hong Kong, China jialuncao@ust.hk Michael Pradel University of Stuttgart Stuttgart, Germany michael@binaervarianz.de Zhongxin Liu† The State Key Laboratory of Blockchain and Data Security, Zhejiang University Hangzhou, China liu_zx@zju.edu.cn Leaderboard HuggingFace GitHub DockerHub ABSTRACT Natural language-driven no-code development aims to enable users to specify software functionality through natural language (NL) without directly editing source code, holding the promise for democratizing so...</t>
  </si>
  <si>
    <t>P009-Q01</t>
  </si>
  <si>
    <t>P009-Q02</t>
  </si>
  <si>
    <t>P009-Q03</t>
  </si>
  <si>
    <t>We adopt a broad survey methodology, categorizing platforms based on key dimensions such as interface style, backend integration, output type, and extensibility.</t>
  </si>
  <si>
    <t>Evidence related to Integration.</t>
  </si>
  <si>
    <t>Quote contains signal 'integration' for theme INTEGRATION.</t>
  </si>
  <si>
    <t>P009-Q04</t>
  </si>
  <si>
    <t>P010-Q01</t>
  </si>
  <si>
    <t>P010-Q02</t>
  </si>
  <si>
    <t>P010-Q03</t>
  </si>
  <si>
    <t>Evidence related to Citizen development.</t>
  </si>
  <si>
    <t>Quote contains signal 'citizen developer' for theme CITIZEN_DEV.</t>
  </si>
  <si>
    <t>Use as evidence in the Themes section.</t>
  </si>
  <si>
    <t>P010-Q04</t>
  </si>
  <si>
    <t>P011-Q01</t>
  </si>
  <si>
    <t>P011-Q02</t>
  </si>
  <si>
    <t>Evidence related to Domain-specific use.</t>
  </si>
  <si>
    <t>Quote contains signal 'healthcare' for theme DOMAIN_SPECIFIC.</t>
  </si>
  <si>
    <t>P011-Q03</t>
  </si>
  <si>
    <t>begin to depend on automated tools instead of learning fundamental coding principles.(14) Data privacy emerges as a prominent concern when AI relies on cloud-based training or inference, raising questions about regulatory compliance and enterprise security standards.</t>
  </si>
  <si>
    <t>Evidence related to Enterprise adoption.</t>
  </si>
  <si>
    <t>Quote contains signal 'enterprise' for theme ENTERPRISE_ADOPTION.</t>
  </si>
  <si>
    <t>P011-Q04</t>
  </si>
  <si>
    <t>P012-Q01</t>
  </si>
  <si>
    <t>P012-Q02</t>
  </si>
  <si>
    <t>Quote contains signal 'mendix' for theme PLATFORM_COMPARISON.</t>
  </si>
  <si>
    <t>P012-Q03</t>
  </si>
  <si>
    <t>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 IT training to build applications and automate workflows, thus driving agility and reducing dependence on traditional IT teams.</t>
  </si>
  <si>
    <t>Quote contains signal 'governance' for theme GOVERNANCE.</t>
  </si>
  <si>
    <t>P012-Q04</t>
  </si>
  <si>
    <t>This study explores flexibility-standardisation tensions in LCNC development through an investigation of two multinational technology firms with differing LCNC maturity levels, both using ServiceNow.</t>
  </si>
  <si>
    <t>P013-Q01</t>
  </si>
  <si>
    <t>P013-Q02</t>
  </si>
  <si>
    <t>P013-Q03</t>
  </si>
  <si>
    <t>P013-Q04</t>
  </si>
  <si>
    <t>To explore the nature and architecture of these programs, we conducted a multicase study involving 18 firms and interviewed 22 individuals leading or shaping their respective initiatives.</t>
  </si>
  <si>
    <t>P014-Q01</t>
  </si>
  <si>
    <t>P014-Q02</t>
  </si>
  <si>
    <t>P014-Q03</t>
  </si>
  <si>
    <t>Technical and Maintainability Challenges Low-code platforms, by design, promote rapid application assembly through visual modeling and pre -built components.</t>
  </si>
  <si>
    <t>Quote contains signal 'maintainability' for theme MAINTAINABILITY.</t>
  </si>
  <si>
    <t>P014-Q04</t>
  </si>
  <si>
    <t>Democratizing Digital Transformation: A Multisector Study of Low-Code Adoption Patterns, Limitations, and Emerging Paradigms.</t>
  </si>
  <si>
    <t>P015-Q01</t>
  </si>
  <si>
    <t>Quote contains signal 'organization' for theme ENTERPRISE_ADOPTION.</t>
  </si>
  <si>
    <t>P015-Q02</t>
  </si>
  <si>
    <t>P015-Q03</t>
  </si>
  <si>
    <t>Evidence related to Professional developer role change.</t>
  </si>
  <si>
    <t>Quote contains signal 'skills' for theme PRO_DEV_ROLE.</t>
  </si>
  <si>
    <t>P015-Q04</t>
  </si>
  <si>
    <t>pment: Potentials and Risks of the Low-Code Develo A Systematic Literature Review Stefan Trieflinger1, Dimitri Petrik2[0000-0002-0244-1235], Ebru Polat3, and Bastian Roling4 1 University of Reutlingen, Altenburgstr.</t>
  </si>
  <si>
    <t>P016-Q01</t>
  </si>
  <si>
    <t>P016-Q02</t>
  </si>
  <si>
    <t>Quote contains signal 'professional developer' for theme PRO_DEV_ROLE.</t>
  </si>
  <si>
    <t>P016-Q03</t>
  </si>
  <si>
    <t>Quote contains signal 'education' for theme EDUCATION.</t>
  </si>
  <si>
    <t>P016-Q04</t>
  </si>
  <si>
    <t>Specifically, there is a fundamental need for e-gov - ernment services among the German population, as the range of services on offer is too limited: according to the Bitkom survey examining people's preferences regarding ad - ministrative services, 79% of respondents consider Germany to be lagging behind regarding digitalization, and 78% would like to see significantly more investment in the digi - talization of public administration.</t>
  </si>
  <si>
    <t>P017-Q01</t>
  </si>
  <si>
    <t>P017-Q02</t>
  </si>
  <si>
    <t>P017-Q03</t>
  </si>
  <si>
    <t>In the following sections, we will explore how this approach enables rapid dashboard deployment, enhances usability and adoption, and empowers cities in their climate transition efforts.</t>
  </si>
  <si>
    <t>P017-Q04</t>
  </si>
  <si>
    <t>P018-Q01</t>
  </si>
  <si>
    <t>P018-Q02</t>
  </si>
  <si>
    <t>Body</t>
  </si>
  <si>
    <t>P018-Q03</t>
  </si>
  <si>
    <t>The benefits of LCNC and CD include process improvement, profit maximization, digital skill development, empowerment, innovation development, usability, customizability, integration, maintenance, and scalability.</t>
  </si>
  <si>
    <t>P018-Q04</t>
  </si>
  <si>
    <t>Adoption of low-code and no-code development: A systematic literature review and future research agenda Matthew Oladeji Ajimati * , Noel Carroll , Mary Maher Business Information Systems, J.E.</t>
  </si>
  <si>
    <t>P019-Q01</t>
  </si>
  <si>
    <t>P019-Q02</t>
  </si>
  <si>
    <t>P019-Q03</t>
  </si>
  <si>
    <t>P019-Q04</t>
  </si>
  <si>
    <t>P020-Q01</t>
  </si>
  <si>
    <t>P020-Q02</t>
  </si>
  <si>
    <t>P020-Q03</t>
  </si>
  <si>
    <t>P020-Q04</t>
  </si>
  <si>
    <t>Example Jinja Template for Python Generation 1 {% for class in classes %} 2 class {{ class . name }}: 3 def __init__ ( self {% for at tr ib ut e in class . a t t r i b u t e s %} , {{ a tt ri bu te . name }}{% endfor %}) : 4 {% for a tt ri bu te in class . a t t r i b u t e s %} 5 self .{{ a tt ri bu te . name }} = {{ a tt ri bu te . name }} 6 {% endfor %} 7 {% endfor %} 2.3 Running example As an illustrative case study, we draw inspiration from the Digital Product Passport (DPP) initiative [17], an initiative within the European region aimed at 2 https://plantuml.com/ 3 https://modeling-languages.com/image-to-uml-with-llm/ 4 https://palletsprojects.com/p/jinja/</t>
  </si>
  <si>
    <t>P021-Q01</t>
  </si>
  <si>
    <t>P021-Q02</t>
  </si>
  <si>
    <t>P021-Q03</t>
  </si>
  <si>
    <t>P021-Q04</t>
  </si>
  <si>
    <t>P022-Q01</t>
  </si>
  <si>
    <t>P022-Q02</t>
  </si>
  <si>
    <t>P022-Q03</t>
  </si>
  <si>
    <t>The user study’s focus was the comparison of textual modeling with the creation of the desired model and, therefore, application using LLMs and natural language specification.</t>
  </si>
  <si>
    <t>P022-Q04</t>
  </si>
  <si>
    <t>We conducted a user experiment to compare textual modeling with the use of LLMs for that task.</t>
  </si>
  <si>
    <t>P023-Q01</t>
  </si>
  <si>
    <t>P023-Q02</t>
  </si>
  <si>
    <t>P023-Q03</t>
  </si>
  <si>
    <t>P023-Q04</t>
  </si>
  <si>
    <t>Low-code vs. the developer: An empirical study on the developer experience and efficiency of a no-code platform Till Guthardt till.guthardt@student.uni-kassel.de University of Kassel Kassel, Germany Jens Kosiol jens.kosiol@uni-kassel.de University of Kassel Kassel, Germany Oliver Hohlfeld oliver.hohlfeld@uni-kassel.de University of Kassel Kassel, Germany ABSTRACT The shortage of competent software developers has led to increased interest in Low-Code Development Platforms (LCDPs), which enable application development with no or minimal coding by leveraging pre-built components.</t>
  </si>
  <si>
    <t>P024-Q01</t>
  </si>
  <si>
    <t>P024-Q02</t>
  </si>
  <si>
    <t>P024-Q03</t>
  </si>
  <si>
    <t>P024-Q04</t>
  </si>
  <si>
    <t>e-Informatica Software Engineering Journal, Volume 18, Issue 1, 2024, pages: 240105, DOI: 10.37190/e-Inf240105 Measuring End-user Developers’ Episodic Experience of a Low-code Development Platform A Preliminary Study Dongmei Gao ∗ , Fabian Fagerholm ∗ ∗Department of Computer Science, Aalto University dongmei.gao@aalto.fi, fabian.fagerholm@aalto.fi Abstract Background: As low-code development platforms (LCDPs) are becoming a trend, understanding how end-user developers think and feel as they work with such platforms is important.</t>
  </si>
  <si>
    <t>P025-Q01</t>
  </si>
  <si>
    <t>P025-Q02</t>
  </si>
  <si>
    <t>P025-Q03</t>
  </si>
  <si>
    <t>Using LowCode and NoCode Tools in DevOps: A Multivocal Literature … 79 • Nintex: This LCP is for process management and workflow automation [PS3], [PS5]. • Appian: This LCP enables quick deployment of enterprise applications using drag-and-drop tools, templates, and reusable components ([PS4], [PS5], [PS6], [PS10]). • Joget DX: This platform blends LC application development with business process automation and workflow customization [PS11]. • Stackstorm: This platform focuses on event-driven automation with sensors, triggers, actions, rules, workflows, and audits [PS11]. • OpenCatapult: This platform is an open-source LC DevOps automation platform for managing routine tasks [PS11]. • Mendix is a key player in the LC development field, offering features like cloudnative development, mobile development, and process automation for LC DevOps ([PS2], [PS7], [PS9], [PS10]). • Amazon Web Se...</t>
  </si>
  <si>
    <t>P025-Q04</t>
  </si>
  <si>
    <t>P026-Q01</t>
  </si>
  <si>
    <t>P026-Q02</t>
  </si>
  <si>
    <t>P026-Q03</t>
  </si>
  <si>
    <t>P026-Q04</t>
  </si>
  <si>
    <t>An Empirical Study of Low-Code Development Platform Bugs Dong Liu, He Jiang , Member , IEEE, Shikai Guo , Y uting Chen, and Lei Qiao Abstract-Low-code development platforms (LCDPs) are increasingly being introduced and leveraged by major IT enterprises to lower the threshold and promote the efficiency of software development.</t>
  </si>
  <si>
    <t>P027-Q01</t>
  </si>
  <si>
    <t>P027-Q02</t>
  </si>
  <si>
    <t>Quote contains signal 'compare' for theme PLATFORM_COMPARISON.</t>
  </si>
  <si>
    <t>P027-Q03</t>
  </si>
  <si>
    <t>P027-Q04</t>
  </si>
  <si>
    <t>P028-Q01</t>
  </si>
  <si>
    <t>P028-Q02</t>
  </si>
  <si>
    <t>P028-Q03</t>
  </si>
  <si>
    <t>Often the business leaders have detailed, lengthy, and complex requirements for an organization’s digital footprint in the future.</t>
  </si>
  <si>
    <t>P028-Q04</t>
  </si>
  <si>
    <t>P029-Q01</t>
  </si>
  <si>
    <t>P029-Q02</t>
  </si>
  <si>
    <t>Quote contains signal 'maintenance' for theme MAINTAINABILITY.</t>
  </si>
  <si>
    <t>P029-Q03</t>
  </si>
  <si>
    <t>The most common are web, mobile, enterprise services, business processes, and IoT.</t>
  </si>
  <si>
    <t>P029-Q04</t>
  </si>
  <si>
    <t>Complex Systems Informatics and Modeling Quarterly (CSIMQ) eISSN: 2255-9922 Published online by RTU Press, https://csimq-journals.rtu.lv Article 200, Issue 36, September/October 2023, Pages 68-86 https://doi.org/10.7250/csimq.2023-36.04 Exploring Low-Code Development: A Comprehensive Literature Review Karlis Rokis1 and Marite Kirikova2* 1 Alumni of Riga Technical University, 6A Kipsalas Street, Riga, LV-1048, Latvia 2 Institute of Applied Computer Systems, Riga Technical University, 6A Kipsalas Street, Riga, LV-1048, Latvia rokis.karlis@gmail.com, marite.kirikova@rtu.lv Abstract.</t>
  </si>
  <si>
    <t>P030-Q01</t>
  </si>
  <si>
    <t>P030-Q02</t>
  </si>
  <si>
    <t>P030-Q03</t>
  </si>
  <si>
    <t>P030-Q04</t>
  </si>
  <si>
    <t>As it is a relatively new paradigm, it is vital to study developers’ diﬃculties when adopting LCSD platforms.</t>
  </si>
  <si>
    <t>P031-Q01</t>
  </si>
  <si>
    <t>P031-Q02</t>
  </si>
  <si>
    <t>P031-Q03</t>
  </si>
  <si>
    <t>2 RELATED WORK This section reviews the concept of visual programming, explores the integration of LLMs into visual environments, and examines the cognitive challenges associated with natural language-based LLM interfaces.</t>
  </si>
  <si>
    <t>P031-Q04</t>
  </si>
  <si>
    <t>P032-Q01</t>
  </si>
  <si>
    <t>P032-Q02</t>
  </si>
  <si>
    <t>P032-Q03</t>
  </si>
  <si>
    <t>AUTO GEN STUDIO offers a web interface and a Python API for representing LLM-enabled agents using a declarative (JSON-based) specification.</t>
  </si>
  <si>
    <t>Quote contains signal 'api' for theme INTEGRATION.</t>
  </si>
  <si>
    <t>P032-Q04</t>
  </si>
  <si>
    <t>P033-Q01</t>
  </si>
  <si>
    <t>P033-Q02</t>
  </si>
  <si>
    <t>Quote contains signal 'benchmark' for theme PLATFORM_COMPARISON.</t>
  </si>
  <si>
    <t>P033-Q03</t>
  </si>
  <si>
    <t>P033-Q04</t>
  </si>
  <si>
    <t>We report on a case study in manufacturing execution systems, where the implementation of the approach provides first insights.</t>
  </si>
  <si>
    <t>P034-Q01</t>
  </si>
  <si>
    <t>P034-Q02</t>
  </si>
  <si>
    <t>P034-Q03</t>
  </si>
  <si>
    <t>This autocompletion could be done with AI techniques or simpler heuristic-based rules [9].</t>
  </si>
  <si>
    <t>P034-Q04</t>
  </si>
  <si>
    <t>In this paper, we study the interoperability between the emergent market of low-code tools as it can have a significant impact in the adoption and long-term success of this new model-based style of software development.</t>
  </si>
  <si>
    <t>P035-Q01</t>
  </si>
  <si>
    <t>P035-Q02</t>
  </si>
  <si>
    <t>Evidence related to Cost and business value.</t>
  </si>
  <si>
    <t>Quote contains signal 'cost' for theme COST_ROI.</t>
  </si>
  <si>
    <t>P035-Q03</t>
  </si>
  <si>
    <t>P035-Q04</t>
  </si>
  <si>
    <t>P036-Q01</t>
  </si>
  <si>
    <t>P036-Q02</t>
  </si>
  <si>
    <t>P036-Q03</t>
  </si>
  <si>
    <t>To address these limitations, we explore using Large Language Models (LLMs), and in particular, their abilities of doing in-context learning, for conversational code generation.</t>
  </si>
  <si>
    <t>Evidence related to Limitations and research gaps.</t>
  </si>
  <si>
    <t>Quote contains signal 'limitations' for theme LIMITATIONS_GAPS.</t>
  </si>
  <si>
    <t>Use as evidence in the Gaps section.</t>
  </si>
  <si>
    <t>P036-Q04</t>
  </si>
  <si>
    <t>P037-Q01</t>
  </si>
  <si>
    <t>P037-Q02</t>
  </si>
  <si>
    <t>P037-Q03</t>
  </si>
  <si>
    <t>As an open-source software, users can modify and adaptasanAI to their needs, making it a valuable tool for both beginners and experts in the field.</t>
  </si>
  <si>
    <t>Quote contains signal 'tool' for theme PLATFORM_COMPARISON.</t>
  </si>
  <si>
    <t>P037-Q04</t>
  </si>
  <si>
    <t>P038-Q01</t>
  </si>
  <si>
    <t>P038-Q02</t>
  </si>
  <si>
    <t>P038-Q03</t>
  </si>
  <si>
    <t>P038-Q04</t>
  </si>
  <si>
    <t>P039-Q01</t>
  </si>
  <si>
    <t>P039-Q02</t>
  </si>
  <si>
    <t>P039-Q03</t>
  </si>
  <si>
    <t>At their intersection, we propose LowCoder, the first low-code tool for developing AI pipelines that supports both a visual programming interface (LowCoderVP) and an AI-powered natural language interface (LowCoderNL).</t>
  </si>
  <si>
    <t>Quote contains signal 'visual programming' for theme MDE_VISUAL_PROGRAMMING.</t>
  </si>
  <si>
    <t>P039-Q04</t>
  </si>
  <si>
    <t>We leverage this tool to provide some of the first insights into whether and how these two modalities help programmers by conducting a user study.</t>
  </si>
  <si>
    <t>P040-Q01</t>
  </si>
  <si>
    <t>P040-Q02</t>
  </si>
  <si>
    <t>P040-Q03</t>
  </si>
  <si>
    <t>These advancements are driving significant transformations in enterprise environments.</t>
  </si>
  <si>
    <t>P040-Q04</t>
  </si>
  <si>
    <t>P041-Q01</t>
  </si>
  <si>
    <t>P041-Q02</t>
  </si>
  <si>
    <t>P041-Q03</t>
  </si>
  <si>
    <t>Keywords:LCNC Agents, Memory Management, Contextual Consistency, Large Language Models (LLMs), Hybrid Memory Architecture, Human-in-the-Loop (HITL) 1 Introduction 1.1 The Paradigm Shift of LCNC Agents Over the past decade, Low-Code/No-Code (LCNC) platforms have democratized software development by allowing "citizen developers" to construct applications using visual metaphors rather than code [1, 2].</t>
  </si>
  <si>
    <t>P041-Q04</t>
  </si>
  <si>
    <t>The key contributions of this work include: •A multi-component, hybrid memory architecture that models the agent’s knowledge using distinct episodic and semantic memory stores. •An"Intelligent Decay"mechanism, a formalized mathematical model inspired by active forgetting processes in cognitive science, which proactively prunes and consolidates memories based on a composite utility score. •A user-centric visualization interface that allows non-technical users to act as Human-in-theLoop (HITL) evaluators, directly influencing the agent’s memory by intuitively tagging which facts should be retained or forgotten.</t>
  </si>
  <si>
    <t>P042-Q01</t>
  </si>
  <si>
    <t>P042-Q02</t>
  </si>
  <si>
    <t>P042-Q03</t>
  </si>
  <si>
    <t>Evidence related to Ethics and accessibility.</t>
  </si>
  <si>
    <t>Quote contains signal 'ethical' for theme ETHICS_ACCESSIBILITY.</t>
  </si>
  <si>
    <t>P042-Q04</t>
  </si>
  <si>
    <t>1.3 Core Hypothesis and Contributions The central hypothesis of this study is that adding a metacognitive layer will significantly enhance the resilience of LCNC agents by predicting and mitigating failures through a proactive human handoff.</t>
  </si>
  <si>
    <t>P043-Q01</t>
  </si>
  <si>
    <t>P043-Q02</t>
  </si>
  <si>
    <t>P043-Q03</t>
  </si>
  <si>
    <t>Quote contains signal 'dsl' for theme MDE_VISUAL_PROGRAMMING.</t>
  </si>
  <si>
    <t>P043-Q04</t>
  </si>
  <si>
    <t>P044-Q01</t>
  </si>
  <si>
    <t>P044-Q02</t>
  </si>
  <si>
    <t>P044-Q03</t>
  </si>
  <si>
    <t>Notably, Lovable.dev is the commercial successor to GPT-Engineer, an open-source command-line tool for AI-driven code generation and execution based on natural language software specifications, available on GitHub [Os23].</t>
  </si>
  <si>
    <t>P044-Q04</t>
  </si>
  <si>
    <t>P045-Q01</t>
  </si>
  <si>
    <t>P045-Q02</t>
  </si>
  <si>
    <t>P045-Q03</t>
  </si>
  <si>
    <t>P045-Q04</t>
  </si>
  <si>
    <t>Everyday workflows should make rigorous experiment specification and exact repeatability the default, without blocking advanced experimentation.</t>
  </si>
  <si>
    <t>P046-Q01</t>
  </si>
  <si>
    <t>P046-Q02</t>
  </si>
  <si>
    <t>Quote contains signal 'tools' for theme PLATFORM_COMPARISON.</t>
  </si>
  <si>
    <t>P046-Q03</t>
  </si>
  <si>
    <t>P046-Q04</t>
  </si>
  <si>
    <t>P047-Q01</t>
  </si>
  <si>
    <t>P047-Q02</t>
  </si>
  <si>
    <t>P047-Q03</t>
  </si>
  <si>
    <t>P047-Q04</t>
  </si>
  <si>
    <t>P048-Q01</t>
  </si>
  <si>
    <t>P048-Q02</t>
  </si>
  <si>
    <t>Evidence related to Productivity and speed.</t>
  </si>
  <si>
    <t>Quote contains signal 'faster' for theme PRODUCTIVITY_SPEED.</t>
  </si>
  <si>
    <t>P048-Q03</t>
  </si>
  <si>
    <t>P048-Q04</t>
  </si>
  <si>
    <t>This study explores the application of LCDPs in Precision Agriculture (PA) through a systematic literature review (SLR).</t>
  </si>
  <si>
    <t>P049-Q01</t>
  </si>
  <si>
    <t>P049-Q02</t>
  </si>
  <si>
    <t>P049-Q03</t>
  </si>
  <si>
    <t>Fourmorestudiesfoundthat LCtoolintegrationandadaptabilityissues hinderedtheadoptionofLCtools.Furthermore,some othercriticalchallengescollectedfromshortlistedprimarystudies arelimited access to source code, vendor lock-in, scalability of applicationscreated,securityconc erns,lackofcollaboration,need codingforcomplexbuilding,lesspowerfulthanmanualprogramming, cognitive habits, accessibility support, documentation, integrationofGenAIandlearningefforts ,andsoforth.Theextracted terms with descriptions and primary study ID are presented in Table3.</t>
  </si>
  <si>
    <t>Evidence related to Vendor lock-in.</t>
  </si>
  <si>
    <t>Quote contains signal 'vendor lock' for theme VENDOR_LOCKIN.</t>
  </si>
  <si>
    <t>P049-Q04</t>
  </si>
  <si>
    <t>These contrasting perceptions-between the optimism surroundingefficiencygainsandtheapprehensionaboutprofessionaldisplacement-underscoretheneedforadeeperempiricalunderstandingofwhetherLC/NCtoolsserveasvaluableaids orposepotentialthreatstothesoftwaredevelopmentpracticesof developers.Motivatedbythisgap,ourstudyobjectivesistosystematically review the literature on LC/NC development tools, focusingonthreekeyareas:identifytheextenttowhichLC/NC toolsserveasaidstoprofessionaldevelopers,categorizethespecificchallengesdevelopersfacewhileusingthesetools,andevaluate whether LC/NC tools are perceived as potential replacementsorcomplementaryenablerstoprofessionalroles.</t>
  </si>
  <si>
    <t>P050-Q01</t>
  </si>
  <si>
    <t>P050-Q02</t>
  </si>
  <si>
    <t>P050-Q03</t>
  </si>
  <si>
    <t>P050-Q04</t>
  </si>
  <si>
    <t>Scoring_Status</t>
  </si>
  <si>
    <t>Q1_Aim_Clear_0_2</t>
  </si>
  <si>
    <t>Q2_Method_Fit_0_2</t>
  </si>
  <si>
    <t>Q3_Sample_Data_Adequate_0_2</t>
  </si>
  <si>
    <t>Q4_Context_Clear_0_2</t>
  </si>
  <si>
    <t>Q5_Analysis_Rigorous_0_2</t>
  </si>
  <si>
    <t>Q6_Validity_Reliability_0_2</t>
  </si>
  <si>
    <t>Q7_Evidence_Supports_Claims_0_2</t>
  </si>
  <si>
    <t>Q8_Limitations_Discussed_0_2</t>
  </si>
  <si>
    <t>Q9_Relevance_To_LCNC_0_2</t>
  </si>
  <si>
    <t>Q10_Novelty_Contribution_0_2</t>
  </si>
  <si>
    <t>Q11_Reproducibility_Transparency_0_2</t>
  </si>
  <si>
    <t>Q12_Usefulness_For_Review_0_2</t>
  </si>
  <si>
    <t>Total_Score_0_24</t>
  </si>
  <si>
    <t>Quality_Notes</t>
  </si>
  <si>
    <t>Major_Risk_Of_Bias</t>
  </si>
  <si>
    <t>Reviewer</t>
  </si>
  <si>
    <t>sample/data size not clearly extracted</t>
  </si>
  <si>
    <t>Low to moderate: core appraisal evidence found; still verify automated extraction.</t>
  </si>
  <si>
    <t>Codex automated extraction</t>
  </si>
  <si>
    <t>sample/data size not clearly extracted; explicit limitations not found in parsed text</t>
  </si>
  <si>
    <t>Moderate: automated appraisal from parsed PDF text; verify method/sample/limitations manually.</t>
  </si>
  <si>
    <t>Automated appraisal found explicit aim/method/evidence signals; human verification recommended.</t>
  </si>
  <si>
    <t>sample/data size not clearly extracted; method label not clearly extracted</t>
  </si>
  <si>
    <t>method label not clearly extracted</t>
  </si>
  <si>
    <t>explicit limitations not found in parsed text; method label not clearly extracted</t>
  </si>
  <si>
    <t>Theme_Name</t>
  </si>
  <si>
    <t>Definition</t>
  </si>
  <si>
    <t>Include_When</t>
  </si>
  <si>
    <t>Exclude_When</t>
  </si>
  <si>
    <t>Example_Signals</t>
  </si>
  <si>
    <t>Parent_Theme</t>
  </si>
  <si>
    <t>Likely_Review_Section</t>
  </si>
  <si>
    <t>Definitions and conceptual boundaries</t>
  </si>
  <si>
    <t>How papers define low-code, no-code, citizen development, visual development, or adjacent concepts.</t>
  </si>
  <si>
    <t>Use when paper discusses definitions, terminology, or boundaries.</t>
  </si>
  <si>
    <t>Do not use only because paper mentions LCNC.</t>
  </si>
  <si>
    <t>definitions, terminology, distinction, taxonomy</t>
  </si>
  <si>
    <t>Conceptual foundation</t>
  </si>
  <si>
    <t>Citizen development</t>
  </si>
  <si>
    <t>Non-professional developers or business users building applications.</t>
  </si>
  <si>
    <t>Use when citizen developers are central to adoption or use.</t>
  </si>
  <si>
    <t>Exclude professional-only developer studies.</t>
  </si>
  <si>
    <t>business users, non-programmers, democratization</t>
  </si>
  <si>
    <t>Adoption</t>
  </si>
  <si>
    <t>Themes</t>
  </si>
  <si>
    <t>Productivity and speed</t>
  </si>
  <si>
    <t>Claims about faster development, reduced backlog, prototyping speed, or time-to-market.</t>
  </si>
  <si>
    <t>Use when productivity is measured or argued.</t>
  </si>
  <si>
    <t>Exclude vague positive claims without development speed.</t>
  </si>
  <si>
    <t>time-to-market, faster, backlog, rapid application development</t>
  </si>
  <si>
    <t>Benefits</t>
  </si>
  <si>
    <t>Cost and business value</t>
  </si>
  <si>
    <t>Cost reduction, ROI, resource savings, or business process improvement.</t>
  </si>
  <si>
    <t>Use when economic value is discussed.</t>
  </si>
  <si>
    <t>Exclude pure productivity without monetary angle.</t>
  </si>
  <si>
    <t>cost, ROI, savings, business value</t>
  </si>
  <si>
    <t>Organizational adoption, implementation, maturity, strategy, or transformation.</t>
  </si>
  <si>
    <t>Use for organization-level studies.</t>
  </si>
  <si>
    <t>Exclude single classroom experiments unless adoption is discussed.</t>
  </si>
  <si>
    <t>enterprise, organization, adoption, digital transformation</t>
  </si>
  <si>
    <t>Governance and control</t>
  </si>
  <si>
    <t>Policies, oversight, approval, compliance, and lifecycle governance of LCNC apps.</t>
  </si>
  <si>
    <t>Use when governance mechanisms are discussed.</t>
  </si>
  <si>
    <t>Exclude generic management issues.</t>
  </si>
  <si>
    <t>governance, policy, approval, compliance</t>
  </si>
  <si>
    <t>Risks</t>
  </si>
  <si>
    <t>SHADOW_IT</t>
  </si>
  <si>
    <t>Shadow IT</t>
  </si>
  <si>
    <t>Apps built outside IT oversight or official systems.</t>
  </si>
  <si>
    <t>Use when hidden/unmanaged app creation is discussed.</t>
  </si>
  <si>
    <t>Exclude general citizen development unless risk is unmanaged IT.</t>
  </si>
  <si>
    <t>shadow IT, unofficial apps, unmanaged</t>
  </si>
  <si>
    <t>Security and privacy</t>
  </si>
  <si>
    <t>Access control, data leakage, compliance, privacy, authentication, security vulnerabilities.</t>
  </si>
  <si>
    <t>Use when security/privacy risks or controls are explicit.</t>
  </si>
  <si>
    <t>Exclude general risk without security/privacy.</t>
  </si>
  <si>
    <t>security, privacy, data leakage, compliance, access</t>
  </si>
  <si>
    <t>Scalability</t>
  </si>
  <si>
    <t>Performance, scalability, enterprise-grade capability, long-term growth.</t>
  </si>
  <si>
    <t>Use when scale/performance is discussed.</t>
  </si>
  <si>
    <t>Exclude maintainability-only concerns.</t>
  </si>
  <si>
    <t>scalability, performance, large-scale</t>
  </si>
  <si>
    <t>Technical quality</t>
  </si>
  <si>
    <t>Maintainability</t>
  </si>
  <si>
    <t>Maintenance, technical debt, lifecycle, app evolution, extensibility.</t>
  </si>
  <si>
    <t>Use for long-term maintainability issues.</t>
  </si>
  <si>
    <t>Exclude initial development speed.</t>
  </si>
  <si>
    <t>maintenance, technical debt, lifecycle</t>
  </si>
  <si>
    <t>Vendor lock-in</t>
  </si>
  <si>
    <t>Dependence on platforms, migration difficulty, proprietary ecosystems.</t>
  </si>
  <si>
    <t>Use when lock-in is stated or implied with evidence.</t>
  </si>
  <si>
    <t>Exclude general platform comparison unless dependence is discussed.</t>
  </si>
  <si>
    <t>lock-in, proprietary, migration, portability</t>
  </si>
  <si>
    <t>Integration with existing systems, APIs, databases, enterprise systems.</t>
  </si>
  <si>
    <t>Use for interoperability and integration topics.</t>
  </si>
  <si>
    <t>Exclude platform feature lists without integration challenge.</t>
  </si>
  <si>
    <t>integration, API, legacy system, database</t>
  </si>
  <si>
    <t>Usability and user experience</t>
  </si>
  <si>
    <t>Ease of use, learnability, UI/UX, visual programming usability.</t>
  </si>
  <si>
    <t>Use for human-computer interaction or usability evidence.</t>
  </si>
  <si>
    <t>Exclude general adoption without UX evidence.</t>
  </si>
  <si>
    <t>usability, learnability, interface, UX</t>
  </si>
  <si>
    <t>User experience</t>
  </si>
  <si>
    <t>Professional developer role change</t>
  </si>
  <si>
    <t>How LCNC changes developers' work, collaboration, skills, or identity.</t>
  </si>
  <si>
    <t>Use for developer role transformation.</t>
  </si>
  <si>
    <t>Exclude citizen developer focus unless professional role is included.</t>
  </si>
  <si>
    <t>developer role, collaboration, skills, IT department</t>
  </si>
  <si>
    <t>Workforce</t>
  </si>
  <si>
    <t>LCNC in teaching, learning, student projects, training, or upskilling.</t>
  </si>
  <si>
    <t>Use for educational settings.</t>
  </si>
  <si>
    <t>Exclude general learnability unless education/training context.</t>
  </si>
  <si>
    <t>education, students, course, training</t>
  </si>
  <si>
    <t>Education</t>
  </si>
  <si>
    <t>AI-assisted development, generative AI, automation, code generation.</t>
  </si>
  <si>
    <t>Use when AI or automation enhances LCNC.</t>
  </si>
  <si>
    <t>Exclude normal drag-and-drop automation without AI unless relevant.</t>
  </si>
  <si>
    <t>AI, generative AI, automation, prompt, code generation</t>
  </si>
  <si>
    <t>Emerging direction</t>
  </si>
  <si>
    <t>Quality assurance and testing</t>
  </si>
  <si>
    <t>Testing, QA, correctness, reliability, verification of LCNC apps.</t>
  </si>
  <si>
    <t>Use for quality/testing discussion.</t>
  </si>
  <si>
    <t>Exclude quality as business value unless software quality is explicit.</t>
  </si>
  <si>
    <t>testing, QA, reliability, verification</t>
  </si>
  <si>
    <t>Ethics and accessibility</t>
  </si>
  <si>
    <t>Accessibility, equity, ethical risks, responsible use.</t>
  </si>
  <si>
    <t>Use where ethics or accessibility is explicit.</t>
  </si>
  <si>
    <t>Exclude generic social benefit claims.</t>
  </si>
  <si>
    <t>ethics, accessibility, inclusion, equity</t>
  </si>
  <si>
    <t>Societal issues</t>
  </si>
  <si>
    <t>LCNC use in healthcare, education, finance, public sector, manufacturing, etc.</t>
  </si>
  <si>
    <t>Use when domain shapes findings.</t>
  </si>
  <si>
    <t>Exclude papers that merely list a domain.</t>
  </si>
  <si>
    <t>healthcare, finance, public sector, manufacturing</t>
  </si>
  <si>
    <t>Domain</t>
  </si>
  <si>
    <t>Comparison of tools/platforms such as Power Apps, Mendix, OutSystems, AppSheet, etc.</t>
  </si>
  <si>
    <t>Use for platform benchmarking or comparative evaluation.</t>
  </si>
  <si>
    <t>Exclude single-platform studies unless comparison implied.</t>
  </si>
  <si>
    <t>Mendix, OutSystems, Power Apps, AppSheet, comparison</t>
  </si>
  <si>
    <t>Platforms</t>
  </si>
  <si>
    <t>Links to model-driven engineering, visual programming, end-user development.</t>
  </si>
  <si>
    <t>Use when theoretical/technical lineage is discussed.</t>
  </si>
  <si>
    <t>Exclude simple mention of visual interface.</t>
  </si>
  <si>
    <t>MDE, model-driven, visual programming, end-user development</t>
  </si>
  <si>
    <t>Limitations and research gaps</t>
  </si>
  <si>
    <t>Explicit limitations, open problems, and future research needs.</t>
  </si>
  <si>
    <t>Use when paper identifies or implies gaps.</t>
  </si>
  <si>
    <t>Exclude normal paper limitations without relation to review gap.</t>
  </si>
  <si>
    <t>gap, future work, limitation, open problem</t>
  </si>
  <si>
    <t>Synthesis</t>
  </si>
  <si>
    <t>Gaps</t>
  </si>
  <si>
    <t>Papers_Count</t>
  </si>
  <si>
    <t>Supporting_Papers</t>
  </si>
  <si>
    <t>Key_Pattern_Across_Papers</t>
  </si>
  <si>
    <t>Consensus_or_Agreement</t>
  </si>
  <si>
    <t>Contradictions_or_Debates</t>
  </si>
  <si>
    <t>Strongest_Evidence_Quotes</t>
  </si>
  <si>
    <t>Methodological_Notes</t>
  </si>
  <si>
    <t>Maturity_of_Evidence</t>
  </si>
  <si>
    <t>Research_Gaps</t>
  </si>
  <si>
    <t>Implications</t>
  </si>
  <si>
    <t>Possible_Review_Subsection_Title</t>
  </si>
  <si>
    <t>Draft_Synthesis_Paragraph</t>
  </si>
  <si>
    <t>Human_Reviewer_Notes</t>
  </si>
  <si>
    <t>1 paper(s) were coded to LCNC_DEF. Representative papers: NoCode-bench: A Benchmark for Evaluating Natural Language-Driven Feature Addition</t>
  </si>
  <si>
    <t>Evidence converges around the workbook theme 'Definitions and conceptual boundaries' where explicit signal sentences were found.</t>
  </si>
  <si>
    <t>Benchmarking: 1</t>
  </si>
  <si>
    <t>Emerging</t>
  </si>
  <si>
    <t>P008: . Considering the better performance of Agentless, we Table 5: Performance comparison across different LLMs on NoCode-bench Full with Agentless. Model Success% Applied% RT% FV-Micro FV-Macro File% #Token Qwen3-235B6.62% 99.37% 75.24% 10.78% 15.77% 39.46% 0.19M GPT-4o 9.31% 97.00% 71.14% 8.68% 17.81% 43.58% 0.11M DeepSeek-v311.83% 99.84% 77.44% 16.02% 24.09% 47.48%0.31M DeepSeek-R1 14.83%95.90% 79.34% 10.53% 25.78% 44.89% 0.57M Average 10.65% 98.03% 75.79% 11.50% 20.86% 43.85% 0.30M use it as the scaffold to evaluate the remaining four models on NoCode-bench Full, and report the results in Table 5. We find that all four models show decreased performance on NoCode-bench Full compared to NoCode-bench Verified. Specifically, the average success rate of the four used models drops from 18.20% to 10.65%, and the accuracy of modified files drops from 49.49% to 43.85%. We further investigate the causes of this phenomenon. Since NoCode-bench Full is a large-scale dataset involving more extens...</t>
  </si>
  <si>
    <t>For definitions and conceptual boundaries, the extraction identifies 1 supporting paper(s): P008. The strongest available evidence should be checked in Evidence_Quotes, especially the paper-level key quotes.</t>
  </si>
  <si>
    <t>Automated synthesis from extracted JSON; verify before manuscript writing.</t>
  </si>
  <si>
    <t>P010, P012, P013, P024, P028, P033, P039, P041, P047, P049</t>
  </si>
  <si>
    <t>10 paper(s) were coded to CITIZEN_DEV. Representative papers: Towards LLM-powered consistency in model-based low-code platforms; Navigating Flexibility and Standardisation in Low‐Code/No‐Code Development; Bridging Business and IT Through Low-Code/No-Code: Insights into Business-IT Collaboration in Enterprise Citizen Developer Programs Björn Binzer; Measuring End-user Developers’ Episodic Experience of a Low-code Development Platform; Algorithms in Low-Code-No-Code for Research Applications: A Practical Review</t>
  </si>
  <si>
    <t>Evidence converges around the workbook theme 'Citizen development' where explicit signal sentences were found.</t>
  </si>
  <si>
    <t>P010 p.1: Information Management Neu-Ulm University of Applied Sciences Neu-Ulm, Germany alexander.bartel@hnu.de 4th Anne Koziolek KASTEL Karlsruhe Institute of Technology Karlsruhe, Germany anne.koziolek@kit.edu Abstract-Low-code platforms often use various models that define the application built by citizen developers. | P028 p.2: Apart from terminologies, such as LCNC, LCDP and LCAP , there are several other popular notions, such as “citizen developer”, “robotic process automation (RPA)”, “IT-business alignment”, and “business process management (BPM)” interchangeably being used to represent the concept of low-code-no-code development in recent times [11]. | P033 p.1: White-box LLM-supported Low-code Engineering: A Vision and First Insights Thomas Buchmann∗ thomas.buchmann@hofuniversity.de Hof University of Applied Sciences Hof, Germany René Peinl∗ rene.peinl@hof-university.de Hof University of Applied Sciences Hof, Germany Felix Schwägerl∗ felix.schwaegerl@oth-regensburg.de OTH Regensburg Regensburg, Germany Abstract Low-code development (LCD) platforms promise to empower citizen developers to define core domain models and rules for business applications.</t>
  </si>
  <si>
    <t>Prototype Evaluation: 2; Interview: 2; Case Study: 2; Survey: 1; Document Analysis: 1</t>
  </si>
  <si>
    <t>P010: . | P012: Finally, we outline the underlying causes and potential responses to the tensions and we highlight that further research is needed to un - derstand how firms navigate them effectively. | P013: . It encourages researchers to better comprehend the paradigm shift in business-IT governance , particularly within the context of a digitally adept workforce spread across all BUs. Moreover, as indicated, some BUs have actively led their own citizen development sub -strategies (F1, F6), suggesting a potential avenue for future research on business-led citizen development. This perspective offers a different view on authority and governance. However, due to its novelty, collaboration must be also investigated long-term. For example, citizen developers might stop collaborating or ignore any collaborative attempts by the IT unit. Thus, an ‘ exit strategy’ (additional mechanism) might be necessary. This study does not come without limitations. Despite adhering to qualitative research good practices (Saldaña, 2021) , our data relies on the subjective perceptions and statements of individual informants. Additionally, we did not include cases from smaller firms in our data collection. Con... | P024: In further research or validation, a comparison of more tasks of different difficulties together would be advisable.</t>
  </si>
  <si>
    <t>P012: 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 | P013: Our contribution is two-fold: this study provides comprehensive insights into the operational dynamics of citizen development programs, which remain under -explored, and it offers practical guidance for fostering business-IT collaboration. | P024: We take some steps towards examining the construct validity of the questionnaire as well as its content validity for practical and conceptual purposes, while properties of statistical generalisability are of secondary importance.</t>
  </si>
  <si>
    <t>For citizen development, the extraction identifies 10 supporting paper(s): P010, P012, P013, P024, P028, P033, P039, P041, P047, P049. The strongest available evidence should be checked in Evidence_Quotes, especially P010 p.1: Information Management Neu-Ulm University of Applied Sciences Neu-Ulm, Germany alexander.bartel@hnu.de 4th Anne Koziolek KASTEL Karlsruhe Institute of Technology Karlsruhe, Germany anne.koziolek@kit.edu Abstract-Low-code platforms often use various models that define the application built by citizen developers. | P028 p.2: Apart from terminologies, such as LCNC, LCDP and LCAP , there are several other popular notions, such as “citizen developer”, “robotic process automation (RPA)”, “IT-business alignment”, and “business process management (BPM)” interchangeably being used to represent the concept of low-code-no-code development in recent times [11]. | P033 p.1: White-box LLM-supported Low-code Engineering: A Vision and First Insights Thomas Buchmann∗ thomas.buchmann@hofuniversity.de Hof University of Applied Sciences Hof, Germany René Peinl∗ rene.peinl@hof-university.de Hof University of Applied Sciences Hof, Germany Felix Schwägerl∗ felix.schwaegerl@oth-regensburg.de OTH Regensburg Regensburg, Germany Abstract Low-code development (LCD) platforms promise to empower citizen developers to define core domain models and rules for business applications..</t>
  </si>
  <si>
    <t>P025, P046, P048</t>
  </si>
  <si>
    <t>3 paper(s) were coded to PRODUCTIVITY_SPEED. Representative papers: Using LowCode and NoCode Tools in DevOps: A Multivocal Literature Review; Requirements Engineering for No-Code Development (RE4NCD); Feasibility of Low-Code Development Platforms in Precision Agriculture: Opportunities, Challenges, and Future Directions</t>
  </si>
  <si>
    <t>Evidence converges around the workbook theme 'Productivity and speed' where explicit signal sentences were found.</t>
  </si>
  <si>
    <t>P048 p.1: These platforms streamline development, offering benefits like faster time-to-market, reduced technical barriers, and broader participation in software creation, even for those without traditional coding skills.</t>
  </si>
  <si>
    <t>Survey: 1; Case Study: 1; Systematic Review: 1</t>
  </si>
  <si>
    <t>P025: are presented in Sect. 5. 2 Related Work As mentioned before, LC and NC tools are gaining significant attention in the DevOps market due to their ability to improve the software development process. This section summarizes some of the relevant studies that have advanced our knowledge of the LC and NC landscape with respect to DevOps. The growing body of literature on LC and NC has explored the various kinds of tools that are available and how they impact the software development process. One study conducted by Rafi et al. [ 14] suggests that combining DevOps with LC methodologies benefits software organizations by streamlining development and addressing talent shortages. The study highlights three advantages: accelerated application development, consistency maintenance, and bridging the skills gap. These authors highlighted that such an approach can lead to quality products being developed quickly and cost-effectively. Bock and Frank [ 21] analyzed the trend of LC platforms (LCPs) a... | P046: aimed at refining and validating the RE4NCD method, tracking the adoption and evolution of applications in diverse organizations, and applying the method to additional case studies for comprehensive evaluation and validation. Keywords: Requirements Engineering · No-Code Development · Rapid Development · War · Crisis 1 Introduction Research of requirements engineering (RE) in times of crisis, such as fire, flood, tsunami, or terrorist attack, is an emerging field that copes with the unique challenges of developing software systems that can deliver information for managing such events [ 13]. Rapid application development (RAD) and no-code development (NCD) platforms aim to provide drag-and-drop tools to enable users in a constrained domain to develop applications by assembling pre-coded components [ 5]. While this prototyping approach is very appealing for rapid development in a bottom-up manner by both expert and nonexpert developers, it requires applying the necessary rigorous techn... | P048: will focus on the selection of appropriate LCDPs and the development of applications specifically designed for PA. This will involve addressing identified challenges such as integration with IoT, improving scalability and adaptability, and refining the user experience. By advancing research in this area, LCDPs can play an important role in the digital transformation of precision agriculture, optimizing operations and contributing to the sustainability and technological advancement of the agricultural sector. Land 2024, 13, 1758 26 of 31 Author Contributions: Conceptualization, E.G., B.T., Ö.B. and Q.L.; Methodology, E.G., B.T., Ö.B. and Q.L.; Investigation, E.G., B.T., Ö.B. and Q.L.; Writing-original draft, E.G., B.T., Ö.B. and Q.L.; Writing-review &amp; editing, E.G., B.T. and Q.L.; Supervision, B.T. and Ö.B. All authors have read and agreed to the published version of the manuscript. Funding: This research received no external funding. Data Availability Statement: The original contrib...</t>
  </si>
  <si>
    <t>P025: DevOps transformation requires more than just cultural adjustment and tools, as new governance frameworks, resources, and processes are also necessary [ 2, 8]. | P046: Contribution: The paper highlights the theoretical and practical implications of RE4NCD, underscoring the potential transformative impact of NCD on the software development industry. | P048: This study contributes to the growing knowledge base in agricultural technology, offering valuable insights for researchers, practitioners, and policymakers looking to leverage LCDPs for sustainable and efficient farming practices.</t>
  </si>
  <si>
    <t>For productivity and speed, the extraction identifies 3 supporting paper(s): P025, P046, P048. The strongest available evidence should be checked in Evidence_Quotes, especially P048 p.1: These platforms streamline development, offering benefits like faster time-to-market, reduced technical barriers, and broader participation in software creation, even for those without traditional coding skills..</t>
  </si>
  <si>
    <t>P015, P035, P038</t>
  </si>
  <si>
    <t>3 paper(s) were coded to COST_ROI. Representative papers: Unclear: title not reliably parsed from PDF text; filename suggests 'Potentials and Risks of the Low-Code Development'; ChatIoT: Zero-code Generation of Trigger-action Based IoT Programs; Diagnosing and Resolving Cloud Platform Instability with Multi-modal RAG LLMs</t>
  </si>
  <si>
    <t>Evidence converges around the workbook theme 'Cost and business value' where explicit signal sentences were found.</t>
  </si>
  <si>
    <t>P035 p.2: Wang et al. [55] reveal that LLM has the capability to assist or replace human efforts in producing vast amounts of high-quality, human-like content more rapidly and cost-effectively.</t>
  </si>
  <si>
    <t>Systematic Review: 1; Prototype Evaluation: 1</t>
  </si>
  <si>
    <t>P035: . 2 Related Work There are mainly three kinds of existing approaches which are closely related to ChatIoT, prompting schemes, TAP generating techniques and edge model deployment schemes. We will briefly describe these three kinds of related work and summarize their major differences from ChatIoT. 2.1 Prompting Schemes for LLMs Various studies demonstrate the powerful ability of LLM to assist users in their daily lives [36, 55, 64]. LLMs today, such as GPT-4 [7], Claude [5], and LLaMA [50], are tuned to follow instructions and are trained on large amounts of data. Therefore, they are capable of performing some tasks in a zero-shot manner. Within the instructions, a user can inform the LLMs of the input, the desired format of the output, and the method to generate TAPs. In practice, however, these methods still face significant performance degradation in more complex tasks within the zero-shot setting [14, 65]. Generating a chain of thought-a series of intermediate reasoning steps-sig... | P038: ARCA is a work in progress, but already confirms the promise of the multimodal RAG LLM approach to searching the complicated incident report databases that arise when troubleshooting cloud-hosted applications. In work still underway, we are investigating other possible ways to organize the ARCA knowledge base, including the option of using similarity search algorithms beyond the form of cosine similarity used in the ANN step. We expect that this will be needed as we expand the data modality coverage of the ARCA platform to include performance metrics and traces. Synthesis of generated answers that incorporate observations from multiple modalities raises especially interesting questions for study.</t>
  </si>
  <si>
    <t>P015: This democratization of software development presents significant opportunities but also introduces risks, creating a trade-off for IT governance. | P035: Although in-situ programming is a promising technique for home automation, there are still practical challenges that may not be easily addressed in the near future, e.g., high user learning costs, privacy concerns, and high human sensing requirements.</t>
  </si>
  <si>
    <t>For cost and business value, the extraction identifies 3 supporting paper(s): P015, P035, P038. The strongest available evidence should be checked in Evidence_Quotes, especially P035 p.2: Wang et al. [55] reveal that LLM has the capability to assist or replace human efforts in producing vast amounts of high-quality, human-like content more rapidly and cost-effectively..</t>
  </si>
  <si>
    <t>P003, P004, P011, P012, P013, P014, P015, P016, P018, P023, P025, P028, P029, P040, P046</t>
  </si>
  <si>
    <t>15 paper(s) were coded to ENTERPRISE_ADOPTION. Representative papers: Design Behaviour and Interface Consistency in Generative No-Code Tools: A Systematic Literature Review; LLM4FaaS: No-Code Application Development using LLMs and FaaS; Low-Code and No-Code Development in the Era of Artificial Intelligence: A Systematic Review; Navigating Flexibility and Standardisation in Low‐Code/No‐Code Development; Bridging Business and IT Through Low-Code/No-Code: Insights into Business-IT Collaboration in Enterprise Citizen Developer Programs Björn Binzer</t>
  </si>
  <si>
    <t>Evidence converges around the workbook theme 'Enterprise adoption' where explicit signal sentences were found.</t>
  </si>
  <si>
    <t>P011 p.7: begin to depend on automated tools instead of learning fundamental coding principles.(14) Data privacy emerges as a prominent concern when AI relies on cloud-based training or inference, raising questions about regulatory compliance and enterprise security standards. | P012 p.5: The company specialises in enterprise software solutions and provides a comprehensive suite of products that enable organisations to manage critical business functions such as finance and supply chain operations. | P012 p.1: This study explores flexibility-standardisation tensions in LCNC development through an investigation of two multinational technology firms with differing LCNC maturity levels, both using ServiceNow.</t>
  </si>
  <si>
    <t>Systematic Review: 4; Prototype Evaluation: 2; Interview: 2; Survey: 2; Case Study: 2; Experiment: 1; Document Analysis: 1</t>
  </si>
  <si>
    <t>P003: should investigate: • how users form mental models of generative behavior • how interfaces communicate degrees of confidence or stability • how users constrain exploration without over-specifying solutions • how iterative refinement affects trust and perceived control In this context, prompting functions as an ongoing negotiation process. Interfaces that expose alternatives, preserve state across iterations, and communicate change boundaries may improve user confidence and reduce corrective interaction cycles. 6.6. Implications for Software Engineering Research Generative interface development alters the nature of software artifacts from fixed implementations to variable outputs produced by a generation process. As a result, engineering practices must evaluate reliability of the process rather than correctness of a single instance. Quality assurance therefore shifts toward: https://doi.org/10.3390/computers15040238 Computers 2026, 15, 238 21 of 25 • managing prompt and model configu... | P004: on prompting strategies could help LLM4FaaS better handle complex, multi-intent tasks. 4.4.3 Model Selection.We choose GPT-4o as the primary LLM for LLM4FaaS due to its advanced capabilities and strong performance in non-English languages [ 13]. LLM4FaaS exhibits practical performance with GPT-4o, even when handling more complex tasks. Nevertheless, advances in LLMs will likely improve the performance of LLM4FaaS. In future work, we plan to further evaluate our approach with different LLMs, including models specifically trained for software development. 4.4.4 Size of the User Group.In this paper, our evaluation is based on answers from 26 non-technical users. While it would have been desirable to work with a larger user group for our experiments, this was not feasible due to the resulting effort in acquiring additional users and handling their answers which both required significant manual effort. Nevertheless, we believe that our experiments reliably demonstrate the effectiveness o... | P011: on theory, governance, and sector-specific best practices. Keywords: Low-Code; No-Code; Development; Innovation; Artificial Intelligence; Citizen Development. RESUMEN El desarrollo low-code y no-code ha transformado la creación de software al permitir que personas sin conocimientos avanzados de programación construyan aplicaciones mediante interfaces visuales. Con la creciente integración de la inteligencia artificial (IA), estas plataformas están evolucionando hacia entornos inteligentes que aceleran la innovación y reducen la escasez global de desarrolladores especializados. La importancia de esta investigación radica en que aclara cómo la IA potencia el desarrollo LCNC, un campo cada vez más central en la transformación digital y la automatización. Mediante el método de revisión sistemática de la literatura (SLR), el estudio recopiló 1 582 registros iniciales de Scopus, EBSCO y AISeL, aplicando criterios de inclusión y exclusión bajo el enfoque PRISMA hasta llegar a 60 artículos... | P012: Finally, we outline the underlying causes and potential responses to the tensions and we highlight that further research is needed to un - derstand how firms navigate them effectively.</t>
  </si>
  <si>
    <t>P003: Rather than redefining their general characteristics, this section focuses on their role within contemporary software ecosystems and their implications for automated interface generation. | P004: Beyond academic prototypes, practical notebook-based systems, e.g., Google Colab, Replit, also demonstrate the feasibility of interactive code generation and execution. | P011: The study concluded that the convergence of LCNC and AI marks a shift toward intelligent, citizen-driven software development, underscoring the need for future research on theory, governance, and sector-specific best practices.</t>
  </si>
  <si>
    <t>For enterprise adoption, the extraction identifies 15 supporting paper(s): P003, P004, P011, P012, P013, P014, P015, P016, P018, P023, P025, P028, P029, P040, P046. The strongest available evidence should be checked in Evidence_Quotes, especially P011 p.7: begin to depend on automated tools instead of learning fundamental coding principles.(14) Data privacy emerges as a prominent concern when AI relies on cloud-based training or inference, raising questions about regulatory compliance and enterprise security standards. | P012 p.5: The company specialises in enterprise software solutions and provides a comprehensive suite of products that enable organisations to manage critical business functions such as finance and supply chain operations. | P012 p.1: This study explores flexibility-standardisation tensions in LCNC development through an investigation of two multinational technology firms with differing LCNC maturity levels, both using ServiceNow..</t>
  </si>
  <si>
    <t>P006, P011, P012, P013, P014, P015, P035</t>
  </si>
  <si>
    <t>7 paper(s) were coded to GOVERNANCE. Representative papers: DMN-Guided Prompting: A Framework for Controlling LLM Behavior; Low-Code and No-Code Development in the Era of Artificial Intelligence: A Systematic Review; Navigating Flexibility and Standardisation in Low‐Code/No‐Code Development; Bridging Business and IT Through Low-Code/No-Code: Insights into Business-IT Collaboration in Enterprise Citizen Developer Programs Björn Binzer; Democratizing Digital Transformation: A Multisector Study of Low-Code Adoption Patterns, Limitations, and Emerging Paradigms</t>
  </si>
  <si>
    <t>Evidence converges around the workbook theme 'Governance and control' where explicit signal sentences were found.</t>
  </si>
  <si>
    <t>P006 p.3: Hit policy:Loan Approval Rule Unique  &gt; 50000 &gt;= 700 approve &gt; 50000 [650..700[ manual_review - - decline - - Annotations 1 2 3  Then Is Eligible for Loan? string  When salary string And creditScore string  Fig. | P012 p.1: 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 IT training to build applications and automate workflows, thus driving agility and reducing dependence on traditional IT teams. | P013 p.5: It is crucial for scaling the adoption of LCNC platforms in a manner that maintains governance and manages risks effectively.</t>
  </si>
  <si>
    <t>Systematic Review: 2; Interview: 2; Prototype Evaluation: 2; Survey: 1</t>
  </si>
  <si>
    <t>P006: can expand in several directions. First, exploring how DMN-guided prompting can be adapted for other application domains, such as healthcare or compliance auditing, will help assess its generalizability. Second, combining DMN with retrieval-augmented generation (RAG) may further enhance reasoning grounded in external knowledge. Third, if customized message generation is desired, the LLM can post-process the output messages using a secondary prompt; otherwise, the framework returns only the predefined messages specified in the DMN logic. Fourth, this approach can be complemented by incorporating few-shot learning, where example inputs are used to improve LLM accuracy when interpreting or applying DMN rules. Fifth, other ways of defining DMN rules and alternative strategies for prompt construction can be explored to increase flexibility and expressiveness. Finally, investigating multi-turn interactions and conversational agents powered by DMN-guided LLMs could open new opportunities f... | P011: on theory, governance, and sector-specific best practices. Keywords: Low-Code; No-Code; Development; Innovation; Artificial Intelligence; Citizen Development. RESUMEN El desarrollo low-code y no-code ha transformado la creación de software al permitir que personas sin conocimientos avanzados de programación construyan aplicaciones mediante interfaces visuales. Con la creciente integración de la inteligencia artificial (IA), estas plataformas están evolucionando hacia entornos inteligentes que aceleran la innovación y reducen la escasez global de desarrolladores especializados. La importancia de esta investigación radica en que aclara cómo la IA potencia el desarrollo LCNC, un campo cada vez más central en la transformación digital y la automatización. Mediante el método de revisión sistemática de la literatura (SLR), el estudio recopiló 1 582 registros iniciales de Scopus, EBSCO y AISeL, aplicando criterios de inclusión y exclusión bajo el enfoque PRISMA hasta llegar a 60 artículos... | P012: Finally, we outline the underlying causes and potential responses to the tensions and we highlight that further research is needed to un - derstand how firms navigate them effectively. | P013: . It encourages researchers to better comprehend the paradigm shift in business-IT governance , particularly within the context of a digitally adept workforce spread across all BUs. Moreover, as indicated, some BUs have actively led their own citizen development sub -strategies (F1, F6), suggesting a potential avenue for future research on business-led citizen development. This perspective offers a different view on authority and governance. However, due to its novelty, collaboration must be also investigated long-term. For example, citizen developers might stop collaborating or ignore any collaborative attempts by the IT unit. Thus, an ‘ exit strategy’ (additional mechanism) might be necessary. This study does not come without limitations. Despite adhering to qualitative research good practices (Saldaña, 2021) , our data relies on the subjective perceptions and statements of individual informants. Additionally, we did not include cases from smaller firms in our data collection. Con...</t>
  </si>
  <si>
    <t>P006: Hit policy:Loan Approval Rule Unique  &gt; 50000 &gt;= 700 approve &gt; 50000 [650..700[ manual_review - - decline - - Annotations 1 2 3  Then Is Eligible for Loan? string  When salary string And creditScore string  Fig. | P011: The study concluded that the convergence of LCNC and AI marks a shift toward intelligent, citizen-driven software development, underscoring the need for future research on theory, governance, and sector-specific best practices. | P012: 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t>
  </si>
  <si>
    <t>For governance and control, the extraction identifies 7 supporting paper(s): P006, P011, P012, P013, P014, P015, P035. The strongest available evidence should be checked in Evidence_Quotes, especially P006 p.3: Hit policy:Loan Approval Rule Unique  &gt; 50000 &gt;= 700 approve &gt; 50000 [650..700[ manual_review - - decline - - Annotations 1 2 3  Then Is Eligible for Loan? string  When salary string And creditScore string  Fig. | P012 p.1: Gallen, St.Gallen, Switzerland | 5Vrije Universiteit Amsterdam, Amsterdam, the Netherlands Correspondence: Altus Viljoen (altus.viljoen@tum.de ) Received: 5 July 2024 | Revised: 17 May 2025 | Accepted: 2 June 2025 Keywords: citizen development | flexibility | IT governance | low- code development platform | no- code | paradoxical tension | ServiceNow | standardisation ABSTRACT Low- code/no- code (LCNC) platforms, such as ServiceNow and Microsoft Power Platform, enable employees without formal IT training to build applications and automate workflows, thus driving agility and reducing dependence on traditional IT teams. | P013 p.5: It is crucial for scaling the adoption of LCNC platforms in a manner that maintains governance and manages risks effectively..</t>
  </si>
  <si>
    <t>P028, P030</t>
  </si>
  <si>
    <t>2 paper(s) were coded to SECURITY_PRIVACY. Representative papers: Algorithms in Low-Code-No-Code for Research Applications: A Practical Review; Noname manuscript No. (will be inserted by the editor)</t>
  </si>
  <si>
    <t>Evidence converges around the workbook theme 'Security and privacy' where explicit signal sentences were found.</t>
  </si>
  <si>
    <t>Document Analysis: 1; Survey: 1</t>
  </si>
  <si>
    <t>P028: of using LCNC platforms in general?  RQ3: Which features of modern LCNC platforms were used in existing studies?  RQ4: Which LCNC platforms were mainly used in solving research problems?  RQ5: What research problems or which area of research adopted LCNC platforms?  RQ6: How can a researcher adopt modern LCNC platforms in solving critical research questions? This study provides a comprehensive literature review on LCNC platforms. Moreover, this study guides researchers and scientists in adopting modern LCNC platforms for solving various research problems. Section 2 (i.e., Research Methods) provides details on the systematic literature review, covering the exclusion and inclusion criteria. Sections 3 Figure 1. Evolution of algorithms from machine code to low-code-no-code. Modern LCNC platforms realize several benefits over previous generations of manually writing lengthy lines of codes with low-level or high-level languages. These benefits include faster development with cloud-based environments, where anyone without coding experience can develop complex technology solutions by integrating technology components from multiple sources. These LCNC platforms provide simple cloud-based interfaces where a non-programmer scientist or researcher can drag-and-drop required algorithms to develop complex scientific solutions. Hence, anyone without high-level coding knowledge can qui... | P030: and LCSD platform vendors should support emerging topics such as Library Dependency Management, External Web Request Processing, Platform Infrastructure API, and Data Migration. RQ3. What types of questions are asked across the observed topic categories? From RQ1, we find some of the unique challenges for LCSD practitioners regarding Customization, Data Storage on the completely managed cloud platforms. This motivates us to explore further to understand more of those challenges. For instance, we want to understand if practitioners mostly ask about diﬀerent solution approaches (i.e., How-type) or further explanation clarification type (Why/What-type). Following previous studies[1, 122], we manually annotated a statistically significant number of posts (e.g., 471 Questions) into four categories. We find that How-type (57%) is the most common form of inquiry across all five topic categories, followed by What-type (18%), Why-type (14%), and Other-type (12%) questions. Most of the How-ty...</t>
  </si>
  <si>
    <t>P028: Algorithms in Low-Code-No-Code for Research Applications: A Practical Review. | P030: The findings of this study have implications for all three LCSD stakeholders: LCSD platform vendors, LCSD developers/practitioners, Researchers, and Educators.</t>
  </si>
  <si>
    <t>For security and privacy, the extraction identifies 2 supporting paper(s): P028, P030. The strongest available evidence should be checked in Evidence_Quotes, especially the paper-level key quotes.</t>
  </si>
  <si>
    <t>P005, P006, P018, P026, P041, P045</t>
  </si>
  <si>
    <t>6 paper(s) were coded to SCALABILITY. Representative papers: Exploring Influence Factors on LLM Suitability for No-Code Development of End User IoT Applications; DMN-Guided Prompting: A Framework for Controlling LLM Behavior; Adoption of low-code and no-code development: A systematic literature review and future research agenda; What&amp;#x0027;s Wrong With Low-Code Development Platforms? An Empirical Study of Low-Code Development Platform Bugs; Memory Management and Contextual Consistency for Long-Running Low-Code Agents</t>
  </si>
  <si>
    <t>Evidence converges around the workbook theme 'Scalability' where explicit signal sentences were found.</t>
  </si>
  <si>
    <t>P005 p.14: This limitation hinders the reproducibility and scalability of few-shot evaluation across different platforms.Baidu Qianfanhas a strict | P018 p.2: The benefits of LCNC and CD include process improvement, profit maximization, digital skill development, empowerment, innovation development, usability, customizability, integration, maintenance, and scalability.</t>
  </si>
  <si>
    <t>Survey: 2; Systematic Review: 1</t>
  </si>
  <si>
    <t>P005: . 5.1 Model Selection Strategy With the release of a range of diverse LLMs in recent years, new opportunities for NCDP rose. However, it is challenging to maintain an overview over model performances and select the most suitable for the use case at hand. With a vast number of available LLMs, each exhibiting different strengths and weaknesses, choosing the right model requires careful consideration. In this case, we select five LLMs that differ in design intent, optimization strategy, scale, and open-source or proprietary to assess their suitability for NCDPs. According to the experiment results, the general-purpose LLMs with strong capability, such asOpenAImodels, i.e.,GPT-4o andGPT-4o-mini, consistently show strong performance among tasks in different levels of complexity and outperform the other models. This is true even for the LLM designed specific for software engineering tasks, e.g.,Copilot, open-source LLM optimized for efficiency and strong adaptability, e.g.,LLaMA, and LLM... | P006: can expand in several directions. First, exploring how DMN-guided prompting can be adapted for other application domains, such as healthcare or compliance auditing, will help assess its generalizability. Second, combining DMN with retrieval-augmented generation (RAG) may further enhance reasoning grounded in external knowledge. Third, if customized message generation is desired, the LLM can post-process the output messages using a secondary prompt; otherwise, the framework returns only the predefined messages specified in the DMN logic. Fourth, this approach can be complemented by incorporating few-shot learning, where example inputs are used to improve LLM accuracy when interpreting or applying DMN rules. Fifth, other ways of defining DMN rules and alternative strategies for prompt construction can be explored to increase flexibility and expressiveness. Finally, investigating multi-turn interactions and conversational agents powered by DMN-guided LLMs could open new opportunities f... | P018: agenda Matthew Oladeji Ajimati * , Noel Carroll , Mary Maher Business Information Systems, J.E. Cairnes School of Business &amp; Economics, University of Galway, Ireland ARTICLE INFO Keywords: Citizen development Low-code No-code Digital transformation Systematic literature review ABSTRACT Context: Low-code/no-code (LCNC) is an emerging technology trend that extends software development beyond professionalsoftware engineers, making it accessible to individuals throughout organizations and society. Objective: We aim to provide a systematic review of the current research on the adoption of LCNC technologies within citizen development (CD) practices for digital transformation (DT), and to propose a research agenda for this field. Method: This review is primarily conducted using a multi-phase systematic literature review of publications from the past five years, i.e., between 2017 and 2023. Results: We identified 40 primary studies that describes the application of LCNC development and CD p... | P026: are desirable. D. Comparison of LCDPs In this study, we investigate four LCDPs. They are from communities with different backgrounds and developed based on different techniques and motivations. Nonetheless, they have basic architectures in common (see Section II) and the characteristics of the bugs of these LCDPs show similar features. Although some differences are presented, they are mainly caused by the scales and the preferences of the LCDPs. Specifically, the two commercial LCDPs, i.e., OutSystems and Mendix, implement more sophisticated functionalities than the two open-source ones, i.e., Appsmith and Budibase. Appsmith focuses more on the development of UIs meanwhile Budibase provides more supports to construct data sources. No essential differences in bug characteristics are derived among LCDPs. The results are likely to be generalized to other LCDPs. VI. T HREA TS TOVALIDITY A. Internal Threat The internal threats to validity reside in the trustworthiness of the collected da...</t>
  </si>
  <si>
    <t>P005: Our findings offer practical insights into how LLMs can be effectively integrated into NCDPs, informing both platform design and the selection of suitable LLMs for end-user application development. | P006: Hit policy:Loan Approval Rule Unique  &gt; 50000 &gt;= 700 approve &gt; 50000 [650..700[ manual_review - - decline - - Annotations 1 2 3  Then Is Eligible for Loan? string  When salary string And creditScore string  Fig. | P018: This question ex - plores the state of research on the theoretical, methodological, and practical contributions to studying the adoption of LCNC and CD adoption to drive DT initiatives within organizations. • RQ2 - How do organizations evaluate the methods they use in measuring the benefits of LCNC adoption and CD practices?</t>
  </si>
  <si>
    <t>For scalability, the extraction identifies 6 supporting paper(s): P005, P006, P018, P026, P041, P045. The strongest available evidence should be checked in Evidence_Quotes, especially P005 p.14: This limitation hinders the reproducibility and scalability of few-shot evaluation across different platforms.Baidu Qianfanhas a strict | P018 p.2: The benefits of LCNC and CD include process improvement, profit maximization, digital skill development, empowerment, innovation development, usability, customizability, integration, maintenance, and scalability..</t>
  </si>
  <si>
    <t>P002, P014, P029, P030</t>
  </si>
  <si>
    <t>4 paper(s) were coded to MAINTAINABILITY. Representative papers: Low-code and no-code with BESSER to create and deploy smart web applications; Democratizing Digital Transformation: A Multisector Study of Low-Code Adoption Patterns, Limitations, and Emerging Paradigms; Complex Systems Informatics and Modeling Quarterly (CSIMQ) eISSN: 2255-9922 Published online by RTU Press, https://csimq-journals.rtu.lv; Noname manuscript No. (will be inserted by the editor)</t>
  </si>
  <si>
    <t>Evidence converges around the workbook theme 'Maintainability' where explicit signal sentences were found.</t>
  </si>
  <si>
    <t>P002 p.2: Existing low-code platforms are commercial, leading to drawbacks such as the risk of vendor lock-in, limited extensibility, and more. | P014 p.8: Technical and Maintainability Challenges Low-code platforms, by design, promote rapid application assembly through visual modeling and pre -built components. | P029 p.9: Maintenance - maintenance is provided once the application is released, and if functionality should be extended, additional features can be added, or a new iteration can be initiated.</t>
  </si>
  <si>
    <t>Document Analysis: 1; Prototype Evaluation: 1; Survey: 1</t>
  </si>
  <si>
    <t>P014: and practical deployment of low-code systems in industrial digital transformation contexts. To provide a structured understanding of this work, the remainder of this article is organized as follows: Section 2 examines the sector-specific applications of low-code platforms across five major industries-automotive, equipment manufacturing, aerospace, electronics, and energy. Section 3 explores key technical and operational challenges that hinder broader adoption, including limitations in customization, interoperability, security, usability, and scalability. Section 4 outlines emerging trends and innovations that are shaping the future of low-code technologies, such as AI/ML integration, edge computing, open-source ecosystems, and sector-specific platform evolution. Section 5 offers a cross-sector discussion synthesizing strategic insights, and Section 6 concludes the paper by summarizing key findings and suggesting directions for future research. Appl. Sci. 2025, 15, 6481 3 of 17 Tradi... | P029: 2 Methodology A literature review serves as a valuable instrument for comprehending the existing knowledge within a particular domain, enabling the identification of gaps and direction s in which further research is needed and it has been selected as the method for answering the research questions of this article. [3]. | P030: and LCSD platform vendors should support emerging topics such as Library Dependency Management, External Web Request Processing, Platform Infrastructure API, and Data Migration. RQ3. What types of questions are asked across the observed topic categories? From RQ1, we find some of the unique challenges for LCSD practitioners regarding Customization, Data Storage on the completely managed cloud platforms. This motivates us to explore further to understand more of those challenges. For instance, we want to understand if practitioners mostly ask about diﬀerent solution approaches (i.e., How-type) or further explanation clarification type (Why/What-type). Following previous studies[1, 122], we manually annotated a statistically significant number of posts (e.g., 471 Questions) into four categories. We find that How-type (57%) is the most common form of inquiry across all five topic categories, followed by What-type (18%), Why-type (14%), and Other-type (12%) questions. Most of the How-ty...</t>
  </si>
  <si>
    <t>P014: These issues underscore the need for governance frameworks, such as the Adaptive Integrated Digital Architecture Framework (AIDAF), which harmonize low-code initiatives with enterprise-wide IT strategies to mitigate risks and ensure long-term adaptability [22]. | P029: This approach reduces the risk of the rise of shadow IT (BE8), which is defined as unsanctioned IT solutions and systems that are used without the approval of the organization's IT department and therefore possess security, data governance, and other risks [6]. | P030: The findings of this study have implications for all three LCSD stakeholders: LCSD platform vendors, LCSD developers/practitioners, Researchers, and Educators.</t>
  </si>
  <si>
    <t>For maintainability, the extraction identifies 4 supporting paper(s): P002, P014, P029, P030. The strongest available evidence should be checked in Evidence_Quotes, especially P002 p.2: Existing low-code platforms are commercial, leading to drawbacks such as the risk of vendor lock-in, limited extensibility, and more. | P014 p.8: Technical and Maintainability Challenges Low-code platforms, by design, promote rapid application assembly through visual modeling and pre -built components. | P029 p.9: Maintenance - maintenance is provided once the application is released, and if functionality should be extended, additional features can be added, or a new iteration can be initiated..</t>
  </si>
  <si>
    <t>P009, P034, P049</t>
  </si>
  <si>
    <t>3 paper(s) were coded to VENDOR_LOCKIN. Representative papers: Review of Tools for Zero-Code LLM Based Application Development; Towards the interoperability of low-code platforms Iván Alfonso1∗, Aaron Conrardy1,2∗, and Jordi Cabot1,2; Low‐Code and No‐Code Tools: A Valuable Aid or a Potential Threat to Professional Developers?</t>
  </si>
  <si>
    <t>Evidence converges around the workbook theme 'Vendor lock-in' where explicit signal sentences were found.</t>
  </si>
  <si>
    <t>P049 p.9: Fourmorestudiesfoundthat LCtoolintegrationandadaptabilityissues hinderedtheadoptionofLCtools.Furthermore,some othercriticalchallengescollectedfromshortlistedprimarystudies arelimited access to source code, vendor lock-in, scalability of applicationscreated,securityconc erns,lackofcollaboration,need codingforcomplexbuilding,lesspowerfulthanmanualprogramming, cognitive habits, accessibility support, documentation, integrationofGenAIandlearningefforts ,andsoforth.Theextracted terms with descriptions and primary study ID are presented in Table3.</t>
  </si>
  <si>
    <t>Literature Review: 1; Survey: 1</t>
  </si>
  <si>
    <t>P009: . Trade-offs (customizability, scalability, vendor lock-in) are discussed in comparison with traditional and low-code development approaches. Finally, we outline future directions-including multimodal interfaces, on-device LLMs, and improved orchestration for democratizing app creation with AI. Our findings indicate that while zero-code LLM platforms greatly lower the barrier to creating AI-powered applications, they still face challenges in flexibility and reliability. Overall, the landscape is rapidly evolving, offering exciting opportunities to empower non-programmers to create sophisticated software. Keywords:Large Language Models, Citation Generation, Retrieval-Augmented Generation, AI Ethics, Multimodal LLMs, Evaluation Metrics. 1 Introduction The rise of no-code and low-code development platforms has significantly lowered the barrier for non-programmers to create software [1]. By providing visual interfaces, templates, and pre-built components, these platforms have democratized app development, enabling “citizen developers” to build and deploy applications arXiv:2510.19747v1 [cs.SE] 22 Oct 2025 2 Pattnayak et al. without traditional coding [2]. However, until recently, the complexity of custom logic still posed challenges-anything beyond simple workflows often required some coding or technical expertise. Large Language Models (LLMs) have emerged as a game-changer in t... | P034: . BESSER is an open-source low-code platform implemented in Python, featuring a modeling framework and a language called B-UML. This language supports the specification of several model types, including structural (or data), object, GUI, deployment, and state machines, adhering to recognized standards such as UML and IFML. In our implementation, models intended for migration are transformed into B-UML models that can still be edited to complete the imported model before regenerating it according to the target LCP. As an example, we show the transformation of a simple library data model (see the UML class diagram for this model in Figure 4). This model is originally defined in Mendix. Let’s assume we want to first export it from Mendix and import it into PowerApps. First, the Mendix data model is exported as a JSON file using the formal method provided by Mendix. Then, a T2M transformation for Mendix takes the Mendix model and transforms it into a B-UML compliant version. To be impor...</t>
  </si>
  <si>
    <t>P009: For sensitive use cases, organizations may need enterprise-grade features like private deployments or strict data governance policies. | P049: To address this gap, we conducted a systematic mapping study to examine the broader implications of LC/NC tools from the developers’ perspective.</t>
  </si>
  <si>
    <t>For vendor lock-in, the extraction identifies 3 supporting paper(s): P009, P034, P049. The strongest available evidence should be checked in Evidence_Quotes, especially P049 p.9: Fourmorestudiesfoundthat LCtoolintegrationandadaptabilityissues hinderedtheadoptionofLCtools.Furthermore,some othercriticalchallengescollectedfromshortlistedprimarystudies arelimited access to source code, vendor lock-in, scalability of applicationscreated,securityconc erns,lackofcollaboration,need codingforcomplexbuilding,lesspowerfulthanmanualprogramming, cognitive habits, accessibility support, documentation, integrationofGenAIandlearningefforts ,andsoforth.Theextracted terms with descriptions and primary study ID are presented in Table3..</t>
  </si>
  <si>
    <t>P009, P017, P020, P021, P029, P030, P031, P032, P040, P043, P047, P048</t>
  </si>
  <si>
    <t>12 paper(s) were coded to INTEGRATION. Representative papers: Review of Tools for Zero-Code LLM Based Application Development; Low-code to fight climate change: the Climaborough project; Building BESSER: an open-source low-code platform ⋆ Iv´ an Alfonso1, Aaron Conrardy1, Armen Sulejmani1, Atefeh Nirumand1, Fitash; An Empirical Study on Low-Code Programming using Traditional vs Large Language Model Support; Complex Systems Informatics and Modeling Quarterly (CSIMQ) eISSN: 2255-9922 Published online by RTU Press, https://csimq-journals.rtu.lv</t>
  </si>
  <si>
    <t>Evidence converges around the workbook theme 'Integration' where explicit signal sentences were found.</t>
  </si>
  <si>
    <t>P009 p.1: We adopt a broad survey methodology, categorizing platforms based on key dimensions such as interface style, backend integration, output type, and extensibility. | P017 p.4: BESSER-dashboards: Low-code approach to configure no-code dashboards Our main objective with the BESSER-dashboards is to speed up the development of dashboards and their integration in data-driven projects while guaranteeing that the resulting dashboards can be created and adapted by non-technical stakeholders. | P017 p.1: The Climaborough City Platform is being developed to monitor the cities’ overall progress towards their climate goals by aggregating historic and real-time data and displaying the results in user-friendly dashboards that will be used by non-technical experts to evaluate the effectiveness of local experimental initiatives, identify those that yield significant impact, and assess the potential consequences of scaling them up to a broader level.</t>
  </si>
  <si>
    <t>Case Study: 3; Literature Review: 1; Survey: 1; Prototype Evaluation: 1; Document Analysis: 1; Interview: 1; Systematic Review: 1</t>
  </si>
  <si>
    <t>P009: . Trade-offs (customizability, scalability, vendor lock-in) are discussed in comparison with traditional and low-code development approaches. Finally, we outline future directions-including multimodal interfaces, on-device LLMs, and improved orchestration for democratizing app creation with AI. Our findings indicate that while zero-code LLM platforms greatly lower the barrier to creating AI-powered applications, they still face challenges in flexibility and reliability. Overall, the landscape is rapidly evolving, offering exciting opportunities to empower non-programmers to create sophisticated software. Keywords:Large Language Models, Citation Generation, Retrieval-Augmented Generation, AI Ethics, Multimodal LLMs, Evaluation Metrics. 1 Introduction The rise of no-code and low-code development platforms has significantly lowered the barrier for non-programmers to create software [1]. By providing visual interfaces, templates, and pre-built components, these platforms have democratized app development, enabling “citizen developers” to build and deploy applications arXiv:2510.19747v1 [cs.SE] 22 Oct 2025 2 Pattnayak et al. without traditional coding [2]. However, until recently, the complexity of custom logic still posed challenges-anything beyond simple workflows often required some coding or technical expertise. Large Language Models (LLMs) have emerged as a game-changer in t... | P017: In an effort to support the performance tracking of the pilots deployed in the Climaborough project, we presented the concept of the Climaborough City Platform. Specifically, given the project’s goal of fast implementation of climate solutions, we focused on the low-code approach to quickly configure the backend and frontend environment of a no-code dashboard creator for non-technical users, enhanced by advanced interaction methods. Based on the feedback provided by cities, we will improve both aspects. We also plan to study in what other parts of the project architecture (potentially involving other WPs), a low-code strategy could also make sense. For instance, in the creation and execution of climate simulation scenarios. Finally, we plan to connect the Climaborough City Platform to other climate initiatives such as the NetZeroCities platform11 or the Climaborough twin project UP203012. This could include pushing or pulling data from the NetZeroCities knowledge repository or inclu... | P020: , we plan to add smart components to BESSER itself, facilitating the creation of B-UML models via low-modeling techniques [3] such as chatbots or automatic model inference from (semi)structured data. | P021: are articulated in Section 7. 2. Background 2.1. Low-Code Programming The term “low-code” first appeared in a report published by Forrester Research in 2014 [15]. The original meaning of the term was that applications could be developed quickly with minimal manual coding and minimal up-front investment in setup, training, and deployment. However, in subsequent reports and research on LCP, the definition of the term “low-code” remained in a constant state of flux and ambiguity [16, 17, 18]. To address this ambiguity, the definition proposed by Hirzel [2] is adopted in this paper, which emphasizes that LCP are technologies designed to minimize text-based programming, with the core aim of reducing reliance on manual coding, whether through VPLs, PBD, or PBNL. Whether for professional developers or amateur developers, the purpose of LCP is to save manual programming time and reduce the learning cost of manual programming as much as possible [19]. Traditional LCP tools, such as Power App...</t>
  </si>
  <si>
    <t>P009: For sensitive use cases, organizations may need enterprise-grade features like private deployments or strict data governance policies. | P020: Section 3 showcases some practical applications of BESSER through case studies. | P021: Developers frequented the platform to delve into issues related to the practical aspects of coding, making the implementation phase the focal point of discussions.</t>
  </si>
  <si>
    <t>For integration, the extraction identifies 12 supporting paper(s): P009, P017, P020, P021, P029, P030, P031, P032, P040, P043, P047, P048. The strongest available evidence should be checked in Evidence_Quotes, especially P009 p.1: We adopt a broad survey methodology, categorizing platforms based on key dimensions such as interface style, backend integration, output type, and extensibility. | P017 p.4: BESSER-dashboards: Low-code approach to configure no-code dashboards Our main objective with the BESSER-dashboards is to speed up the development of dashboards and their integration in data-driven projects while guaranteeing that the resulting dashboards can be created and adapted by non-technical stakeholders. | P017 p.1: The Climaborough City Platform is being developed to monitor the cities’ overall progress towards their climate goals by aggregating historic and real-time data and displaying the results in user-friendly dashboards that will be used by non-technical experts to evaluate the effectiveness of local experimental initiatives, identify those that yield significant impact, and assess the potential consequences of scaling them up to a broader level..</t>
  </si>
  <si>
    <t>P003, P010, P017, P018, P019, P022, P023, P024, P027, P031, P037, P043, P050</t>
  </si>
  <si>
    <t>13 paper(s) were coded to USABILITY_UX. Representative papers: Design Behaviour and Interface Consistency in Generative No-Code Tools: A Systematic Literature Review; Towards LLM-powered consistency in model-based low-code platforms; Low-code to fight climate change: the Climaborough project; Adoption of low-code and no-code development: A systematic literature review and future research agenda; Democratizing Machine Learning: A Practical Comparison of Low-Code and No-Code Platforms</t>
  </si>
  <si>
    <t>Evidence converges around the workbook theme 'Usability and user experience' where explicit signal sentences were found.</t>
  </si>
  <si>
    <t>P003 p.1: This paper presents a systematic literature review examining how generative no-code systems make design and aesthetic decisions with respect to layout structure, visual consistency, usability, accessibility, and reproducibility. | P017 p.4: In the following sections, we will explore how this approach enables rapid dashboard deployment, enhances usability and adoption, and empowers cities in their climate transition efforts. | P019 p.1: Beyond predictive performance, this study also evaluates usability, setup complexity, the transparency of automated workflows, and cost management under realistic “out-of-the-box” conditions.</t>
  </si>
  <si>
    <t>Prototype Evaluation: 3; Systematic Review: 2; Experiment: 2; Survey: 1; Focus Group: 1; Interview: 1</t>
  </si>
  <si>
    <t>P003: should investigate: • how users form mental models of generative behavior • how interfaces communicate degrees of confidence or stability • how users constrain exploration without over-specifying solutions • how iterative refinement affects trust and perceived control In this context, prompting functions as an ongoing negotiation process. Interfaces that expose alternatives, preserve state across iterations, and communicate change boundaries may improve user confidence and reduce corrective interaction cycles. 6.6. Implications for Software Engineering Research Generative interface development alters the nature of software artifacts from fixed implementations to variable outputs produced by a generation process. As a result, engineering practices must evaluate reliability of the process rather than correctness of a single instance. Quality assurance therefore shifts toward: https://doi.org/10.3390/computers15040238 Computers 2026, 15, 238 21 of 25 • managing prompt and model configu... | P010: . | P017: In an effort to support the performance tracking of the pilots deployed in the Climaborough project, we presented the concept of the Climaborough City Platform. Specifically, given the project’s goal of fast implementation of climate solutions, we focused on the low-code approach to quickly configure the backend and frontend environment of a no-code dashboard creator for non-technical users, enhanced by advanced interaction methods. Based on the feedback provided by cities, we will improve both aspects. We also plan to study in what other parts of the project architecture (potentially involving other WPs), a low-code strategy could also make sense. For instance, in the creation and execution of climate simulation scenarios. Finally, we plan to connect the Climaborough City Platform to other climate initiatives such as the NetZeroCities platform11 or the Climaborough twin project UP203012. This could include pushing or pulling data from the NetZeroCities knowledge repository or inclu... | P018: agenda Matthew Oladeji Ajimati * , Noel Carroll , Mary Maher Business Information Systems, J.E. Cairnes School of Business &amp; Economics, University of Galway, Ireland ARTICLE INFO Keywords: Citizen development Low-code No-code Digital transformation Systematic literature review ABSTRACT Context: Low-code/no-code (LCNC) is an emerging technology trend that extends software development beyond professionalsoftware engineers, making it accessible to individuals throughout organizations and society. Objective: We aim to provide a systematic review of the current research on the adoption of LCNC technologies within citizen development (CD) practices for digital transformation (DT), and to propose a research agenda for this field. Method: This review is primarily conducted using a multi-phase systematic literature review of publications from the past five years, i.e., between 2017 and 2023. Results: We identified 40 primary studies that describes the application of LCNC development and CD p...</t>
  </si>
  <si>
    <t>P003: Rather than redefining their general characteristics, this section focuses on their role within contemporary software ecosystems and their implications for automated interface generation. | P018: This question ex - plores the state of research on the theoretical, methodological, and practical contributions to studying the adoption of LCNC and CD adoption to drive DT initiatives within organizations. • RQ2 - How do organizations evaluate the methods they use in measuring the benefits of LCNC adoption and CD practices? | P019: Democratizing Machine Learning: A Practical Comparison of Low-Code and No-Code Platforms.</t>
  </si>
  <si>
    <t>For usability and user experience, the extraction identifies 13 supporting paper(s): P003, P010, P017, P018, P019, P022, P023, P024, P027, P031, P037, P043, P050. The strongest available evidence should be checked in Evidence_Quotes, especially P003 p.1: This paper presents a systematic literature review examining how generative no-code systems make design and aesthetic decisions with respect to layout structure, visual consistency, usability, accessibility, and reproducibility. | P017 p.4: In the following sections, we will explore how this approach enables rapid dashboard deployment, enhances usability and adoption, and empowers cities in their climate transition efforts. | P019 p.1: Beyond predictive performance, this study also evaluates usability, setup complexity, the transparency of automated workflows, and cost management under realistic “out-of-the-box” conditions..</t>
  </si>
  <si>
    <t>P015, P016, P032, P046, P049</t>
  </si>
  <si>
    <t>5 paper(s) were coded to PRO_DEV_ROLE. Representative papers: Unclear: title not reliably parsed from PDF text; filename suggests 'Potentials and Risks of the Low-Code Development'; Addressing Skills Shortages through Low-Code/No-Code: Skill Profiles and Implementation Challenges; System Demonstrations, pages 72-79 November 12-16, 2024 ©2024 Association for Computational Linguistics AUTO GEN STUDIO : A No-Code Developer Tool for Building and; Requirements Engineering for No-Code Development (RE4NCD); Low‐Code and No‐Code Tools: A Valuable Aid or a Potential Threat to Professional Developers?</t>
  </si>
  <si>
    <t>Evidence converges around the workbook theme 'Professional developer role change' where explicit signal sentences were found.</t>
  </si>
  <si>
    <t>P015 p.1: With low-code, software applications can be implemented quickly without requiring in-depth programming skills. | P016 p.2: In particular, this reduces technical dependencies on IT departments; as a result, professional developers can focus on more strategic and value-adding tasks [18]. | P046 p.2: Low and no-code software development has changed the dynamics of software engineering by introducing the capability of nonprofessional developers to rapidly build tools without having a programming background [ 9].</t>
  </si>
  <si>
    <t>Systematic Review: 1; Survey: 1; Document Analysis: 1; Case Study: 1</t>
  </si>
  <si>
    <t>P016: on the skills needed by citizen developers using LCNC tools in corporate and public-sector contexts. Our analysis of 58 articles identifies three key skill categories: hard skills, such as programming and working with APIs; soft skills, such as com - munication and collaboration; and domain-specific knowledge. However, challenges exist in the upskilling process. Addition - ally, generative AI (GenAI) shows potential to expand LCNC capabilities. Nevertheless, the intersection of LCNC and publicsector transformation remains underexplored, highlighting the need for deeper studies focused on sector-specific challenges, use cases, and long-term adoption. Index Terms -Low-Code, No-Code, Citizen Developer, Skills, Innovations, Digital Transformation. I. INTRODUCTION NFORMATION and communication technology (ICT) has undergone rapid changes over the decades-particu - larly in the last ten to fifteen years-and has had a far-reach - ing impact on almost every aspect of daily life. These change... | P032: directions. To the best of our knowledge, AUTO GEN STUDIO is the first open-source project to explore a no-code interface for autonomous MULTI -AGENT application development, providing a suitable platform for research and practice in MULTI -AGENT developer tooling. 2 Related Work 2.1 Agents ( LLMs + Tools) Generative AI models face limitations, including hallucination - generating content not grounded in fact - and limited performance on reasoning tasks or novel out-of-distribution problems. To address these issues, practice has shifted towards agentic implementations where models are given access to tools to act and augment their performance (Mialon et al., 2023). Agentic implementations, such as React (Yao et al., 2022), explore a Reason and Act paradigm that uses LLMs to generate both reasoning traces and task-specific actions in an interleaved manner. As part of this process, developers have explored frameworks that build prescriptive pipelines interleaving models and tools (e.g... | P046: aimed at refining and validating the RE4NCD method, tracking the adoption and evolution of applications in diverse organizations, and applying the method to additional case studies for comprehensive evaluation and validation. Keywords: Requirements Engineering · No-Code Development · Rapid Development · War · Crisis 1 Introduction Research of requirements engineering (RE) in times of crisis, such as fire, flood, tsunami, or terrorist attack, is an emerging field that copes with the unique challenges of developing software systems that can deliver information for managing such events [ 13]. Rapid application development (RAD) and no-code development (NCD) platforms aim to provide drag-and-drop tools to enable users in a constrained domain to develop applications by assembling pre-coded components [ 5]. While this prototyping approach is very appealing for rapid development in a bottom-up manner by both expert and nonexpert developers, it requires applying the necessary rigorous techn...</t>
  </si>
  <si>
    <t>P015: This democratization of software development presents significant opportunities but also introduces risks, creating a trade-off for IT governance. | P016: In addition to the organizational perspective on the benefits of digitalization, there are also macroeconomic and labormarket implications. | P046: Contribution: The paper highlights the theoretical and practical implications of RE4NCD, underscoring the potential transformative impact of NCD on the software development industry.</t>
  </si>
  <si>
    <t>For professional developer role change, the extraction identifies 5 supporting paper(s): P015, P016, P032, P046, P049. The strongest available evidence should be checked in Evidence_Quotes, especially P015 p.1: With low-code, software applications can be implemented quickly without requiring in-depth programming skills. | P016 p.2: In particular, this reduces technical dependencies on IT departments; as a result, professional developers can focus on more strategic and value-adding tasks [18]. | P046 p.2: Low and no-code software development has changed the dynamics of software engineering by introducing the capability of nonprofessional developers to rapidly build tools without having a programming background [ 9]..</t>
  </si>
  <si>
    <t>P001, P005, P006, P007, P016, P019, P023, P024, P026, P027, P035, P036, P037, P038, P044, P045, P047, P050</t>
  </si>
  <si>
    <t>18 paper(s) were coded to EDUCATION. Representative papers: AI-for-Science Low-code Platform with Bayesian Adversarial Multi-Agent Framework; Exploring Influence Factors on LLM Suitability for No-Code Development of End User IoT Applications; DMN-Guided Prompting: A Framework for Controlling LLM Behavior; Fine-Tune an SLM or Prompt an LLM? The Case of Generating Low-Code Workflows; Addressing Skills Shortages through Low-Code/No-Code: Skill Profiles and Implementation Challenges</t>
  </si>
  <si>
    <t>Evidence converges around the workbook theme 'Education and training' where explicit signal sentences were found.</t>
  </si>
  <si>
    <t>P006 p.1: We implemented the framework in a graduate-level course where students submitted assignments. | P007 p.2: Our approach was to create a small yet representative training dataset for the sub-tasks comprising Flow Generation and fine-tune Mistral-Nemo-12B-Base [20]. | P016 p.2: However, due to a lack of formal programming education and skills, they are often unable to develop digital solutions on their own.</t>
  </si>
  <si>
    <t>Survey: 5; Case Study: 2; Experiment: 2; Prototype Evaluation: 2; Benchmarking: 1; Focus Group: 1</t>
  </si>
  <si>
    <t>P001: will focus on extending the Bayesian updates to handle multi-modal inputs, such as equations and diagrams, and optimizing the iteration protocols for large-scale scientific simulations. | P005: . 5.1 Model Selection Strategy With the release of a range of diverse LLMs in recent years, new opportunities for NCDP rose. However, it is challenging to maintain an overview over model performances and select the most suitable for the use case at hand. With a vast number of available LLMs, each exhibiting different strengths and weaknesses, choosing the right model requires careful consideration. In this case, we select five LLMs that differ in design intent, optimization strategy, scale, and open-source or proprietary to assess their suitability for NCDPs. According to the experiment results, the general-purpose LLMs with strong capability, such asOpenAImodels, i.e.,GPT-4o andGPT-4o-mini, consistently show strong performance among tasks in different levels of complexity and outperform the other models. This is true even for the LLM designed specific for software engineering tasks, e.g.,Copilot, open-source LLM optimized for efficiency and strong adaptability, e.g.,LLaMA, and LLM... | P006: can expand in several directions. First, exploring how DMN-guided prompting can be adapted for other application domains, such as healthcare or compliance auditing, will help assess its generalizability. Second, combining DMN with retrieval-augmented generation (RAG) may further enhance reasoning grounded in external knowledge. Third, if customized message generation is desired, the LLM can post-process the output messages using a secondary prompt; otherwise, the framework returns only the predefined messages specified in the DMN logic. Fourth, this approach can be complemented by incorporating few-shot learning, where example inputs are used to improve LLM accuracy when interpreting or applying DMN rules. Fifth, other ways of defining DMN rules and alternative strategies for prompt construction can be explored to increase flexibility and expressiveness. Finally, investigating multi-turn interactions and conversational agents powered by DMN-guided LLMs could open new opportunities f... | P007: . We address the third drawback by computing the percentage of generated examples with at least one such structure error. While the most complete metric is FlowSim of outline and inputs , we also report FlowSim of outline, and the percentage of examples with structure errors. 5 Results Figure 4 shows the results for our fine-tuned SLM and all other LLMs on the small TEST and the larger OOD datasets. MistralNemo-12B-Instruct performs poorly across the board confirming that SLMs require workflow in-domain training data. LLMs of the "mini" sort, even o3-mini with medium reasoning, also do not perform well. When we prompt larger LLMs, we see competitive results, especially with Gemini-2.0-Flash and GPT-4o. As generating the outline is a simpler task, we see a larger gap between our fine-tuned SLM and these models when we generate the complete workflow (outline and inputs). This gap is 7.2% on TEST but 12.4% on OOD, around 10% if we average the two. All models perform worse when the requ...</t>
  </si>
  <si>
    <t>P001: While this increased token budget can be a practical constraint for long pipelines, in reliability-critical scientific applications, we prioritize executable correctness and robustness over marginal token savings. | P005: Our findings offer practical insights into how LLMs can be effectively integrated into NCDPs, informing both platform design and the selection of suitable LLMs for end-user application development. | P006: Hit policy:Loan Approval Rule Unique  &gt; 50000 &gt;= 700 approve &gt; 50000 [650..700[ manual_review - - decline - - Annotations 1 2 3  Then Is Eligible for Loan? string  When salary string And creditScore string  Fig.</t>
  </si>
  <si>
    <t>For education and training, the extraction identifies 18 supporting paper(s): P001, P005, P006, P007, P016, P019, P023, P024, P026, P027, P035, P036, P037, P038, P044, P045, P047, P050. The strongest available evidence should be checked in Evidence_Quotes, especially P006 p.1: We implemented the framework in a graduate-level course where students submitted assignments. | P007 p.2: Our approach was to create a small yet representative training dataset for the sub-tasks comprising Flow Generation and fine-tune Mistral-Nemo-12B-Base [20]. | P016 p.2: However, due to a lack of formal programming education and skills, they are often unable to develop digital solutions on their own..</t>
  </si>
  <si>
    <t>P001, P002, P003, P004, P005, P006, P007, P008, P009, P010, P011, P016, P017, P019, P020, P021, P022, P025, P027, P031, P032, P033, P034, P035, P036, P037, P038, P039, P040, P041, P042, P044, P048, P050</t>
  </si>
  <si>
    <t>34 paper(s) were coded to AI_AUTOMATION. Representative papers: AI-for-Science Low-code Platform with Bayesian Adversarial Multi-Agent Framework; Low-code and no-code with BESSER to create and deploy smart web applications; Design Behaviour and Interface Consistency in Generative No-Code Tools: A Systematic Literature Review; LLM4FaaS: No-Code Application Development using LLMs and FaaS; Exploring Influence Factors on LLM Suitability for No-Code Development of End User IoT Applications</t>
  </si>
  <si>
    <t>Evidence converges around the workbook theme 'AI and automation' where explicit signal sentences were found.</t>
  </si>
  <si>
    <t>P001 p.1: Published as a conference paper at ICLR 2026 AI-FOR-SCIENCELOW-CODEPLATFORM WITH BAYESIANADVERSARIALMULTI-AGENTFRAMEWORK Zihang Zeng1,2#, Jiaquan Zhang1,2#, Pengze Li1, Yuan Qi1,3, Xi Chen1,3† 1Artificial Intelligence Innovation and Incubation Institute, Fudan University 2Shanghai Innovation Institute 3Shanghai Academy of AI for Science x_chen@fudan.edu.cn ABSTRACT Multi-agent systems leveraging Large Language Models (LLMs) show immense potential for solving complex scientific problems. | P001 p.1: Our framework employs three agents in a recursive loop that adversarially co-optimizes the generated solutions, the test cases used for evaluation, and the prompts driving generation. | P002 p.2: LOW-CODE AND NO-CODE WITHBESSERTO CREATE AND DEPLOY SMART WEB APPLICATIONS Iván Alfonso Luxembourg Institute of Science and Technology, Luxembourg ivan.alfonso@list.lu Armen Sulejmani Luxembourg Institute of Science and Technology, Luxembourg armen.sulejmani@list.lu Aaron Conrardy Luxembourg Institute of Science and Technology, Luxembourg University of Luxembourg, Luxembourg aaron.conrardy@list.lu Jordi Cabot Luxembourg Institute of Science and Technology, Luxembourg University of Luxembourg, Luxembourg jordi.cabot@list.lu ABSTRACT The increasing demand for web applications containing AI-agents, seen as smart web applications, has prompted the need for new techniques to facilitate their creation.</t>
  </si>
  <si>
    <t>Prototype Evaluation: 7; Survey: 5; Case Study: 4; Systematic Review: 3; Benchmarking: 2; Document Analysis: 2; Experiment: 2; Literature Review: 1; Focus Group: 1</t>
  </si>
  <si>
    <t>P001: will focus on extending the Bayesian updates to handle multi-modal inputs, such as equations and diagrams, and optimizing the iteration protocols for large-scale scientific simulations. | P003: should investigate: • how users form mental models of generative behavior • how interfaces communicate degrees of confidence or stability • how users constrain exploration without over-specifying solutions • how iterative refinement affects trust and perceived control In this context, prompting functions as an ongoing negotiation process. Interfaces that expose alternatives, preserve state across iterations, and communicate change boundaries may improve user confidence and reduce corrective interaction cycles. 6.6. Implications for Software Engineering Research Generative interface development alters the nature of software artifacts from fixed implementations to variable outputs produced by a generation process. As a result, engineering practices must evaluate reliability of the process rather than correctness of a single instance. Quality assurance therefore shifts toward: https://doi.org/10.3390/computers15040238 Computers 2026, 15, 238 21 of 25 • managing prompt and model configu... | P004: on prompting strategies could help LLM4FaaS better handle complex, multi-intent tasks. 4.4.3 Model Selection.We choose GPT-4o as the primary LLM for LLM4FaaS due to its advanced capabilities and strong performance in non-English languages [ 13]. LLM4FaaS exhibits practical performance with GPT-4o, even when handling more complex tasks. Nevertheless, advances in LLMs will likely improve the performance of LLM4FaaS. In future work, we plan to further evaluate our approach with different LLMs, including models specifically trained for software development. 4.4.4 Size of the User Group.In this paper, our evaluation is based on answers from 26 non-technical users. While it would have been desirable to work with a larger user group for our experiments, this was not feasible due to the resulting effort in acquiring additional users and handling their answers which both required significant manual effort. Nevertheless, we believe that our experiments reliably demonstrate the effectiveness o... | P005: . 5.1 Model Selection Strategy With the release of a range of diverse LLMs in recent years, new opportunities for NCDP rose. However, it is challenging to maintain an overview over model performances and select the most suitable for the use case at hand. With a vast number of available LLMs, each exhibiting different strengths and weaknesses, choosing the right model requires careful consideration. In this case, we select five LLMs that differ in design intent, optimization strategy, scale, and open-source or proprietary to assess their suitability for NCDPs. According to the experiment results, the general-purpose LLMs with strong capability, such asOpenAImodels, i.e.,GPT-4o andGPT-4o-mini, consistently show strong performance among tasks in different levels of complexity and outperform the other models. This is true even for the LLM designed specific for software engineering tasks, e.g.,Copilot, open-source LLM optimized for efficiency and strong adaptability, e.g.,LLaMA, and LLM...</t>
  </si>
  <si>
    <t>P001: While this increased token budget can be a practical constraint for long pipelines, in reliability-critical scientific applications, we prioritize executable correctness and robustness over marginal token savings. | P003: Rather than redefining their general characteristics, this section focuses on their role within contemporary software ecosystems and their implications for automated interface generation. | P004: Beyond academic prototypes, practical notebook-based systems, e.g., Google Colab, Replit, also demonstrate the feasibility of interactive code generation and execution.</t>
  </si>
  <si>
    <t>For ai and automation, the extraction identifies 34 supporting paper(s): P001, P002, P003, P004, P005, P006, P007, P008, P009, P010, P011, P016, P017, P019, P020, P021, P022, P025, P027, P031, P032, P033, P034, P035, P036, P037, P038, P039, P040, P041, P042, P044, P048, P050. The strongest available evidence should be checked in Evidence_Quotes, especially P001 p.1: Published as a conference paper at ICLR 2026 AI-FOR-SCIENCELOW-CODEPLATFORM WITH BAYESIANADVERSARIALMULTI-AGENTFRAMEWORK Zihang Zeng1,2#, Jiaquan Zhang1,2#, Pengze Li1, Yuan Qi1,3, Xi Chen1,3† 1Artificial Intelligence Innovation and Incubation Institute, Fudan University 2Shanghai Innovation Institute 3Shanghai Academy of AI for Science x_chen@fudan.edu.cn ABSTRACT Multi-agent systems leveraging Large Language Models (LLMs) show immense potential for solving complex scientific problems. | P001 p.1: Our framework employs three agents in a recursive loop that adversarially co-optimizes the generated solutions, the test cases used for evaluation, and the prompts driving generation. | P002 p.2: LOW-CODE AND NO-CODE WITHBESSERTO CREATE AND DEPLOY SMART WEB APPLICATIONS Iván Alfonso Luxembourg Institute of Science and Technology, Luxembourg ivan.alfonso@list.lu Armen Sulejmani Luxembourg Institute of Science and Technology, Luxembourg armen.sulejmani@list.lu Aaron Conrardy Luxembourg Institute of Science and Technology, Luxembourg University of Luxembourg, Luxembourg aaron.conrardy@list.lu Jordi Cabot Luxembourg Institute of Science and Technology, Luxembourg University of Luxembourg, Luxembourg jordi.cabot@list.lu ABSTRACT The increasing demand for web applications containing AI-agents, seen as smart web applications, has prompted the need for new techniques to facilitate their creation..</t>
  </si>
  <si>
    <t>P001, P004, P008, P021, P026, P042</t>
  </si>
  <si>
    <t>6 paper(s) were coded to QUALITY_TESTING. Representative papers: AI-for-Science Low-code Platform with Bayesian Adversarial Multi-Agent Framework; LLM4FaaS: No-Code Application Development using LLMs and FaaS; NoCode-bench: A Benchmark for Evaluating Natural Language-Driven Feature Addition; An Empirical Study on Low-Code Programming using Traditional vs Large Language Model Support; What&amp;#x0027;s Wrong With Low-Code Development Platforms? An Empirical Study of Low-Code Development Platform Bugs</t>
  </si>
  <si>
    <t>Evidence converges around the workbook theme 'Quality assurance and testing' where explicit signal sentences were found.</t>
  </si>
  <si>
    <t>P001 p.5: 2.3 A PRIORI ESTIMATION WITHBAYESIANOPTIMIZATION We noticed that executing all the generated codes for testing can be computationally expensive. | P004 p.8: Experimental results show that LLM4FaaS achieves high reliability, efficiency and availability while maintaining competitive code quality, making it a viable solution for non-technical users to develop and run tailored applications without requiring any technical expertise. | P008 p.4: This phase ensures that each instance is equipped with a clean and functional containerized environment, establishing a reliable foundation for subsequent testing and analysis.</t>
  </si>
  <si>
    <t>Benchmarking: 2; Prototype Evaluation: 2; Survey: 1</t>
  </si>
  <si>
    <t>P001: will focus on extending the Bayesian updates to handle multi-modal inputs, such as equations and diagrams, and optimizing the iteration protocols for large-scale scientific simulations. | P004: on prompting strategies could help LLM4FaaS better handle complex, multi-intent tasks. 4.4.3 Model Selection.We choose GPT-4o as the primary LLM for LLM4FaaS due to its advanced capabilities and strong performance in non-English languages [ 13]. LLM4FaaS exhibits practical performance with GPT-4o, even when handling more complex tasks. Nevertheless, advances in LLMs will likely improve the performance of LLM4FaaS. In future work, we plan to further evaluate our approach with different LLMs, including models specifically trained for software development. 4.4.4 Size of the User Group.In this paper, our evaluation is based on answers from 26 non-technical users. While it would have been desirable to work with a larger user group for our experiments, this was not feasible due to the resulting effort in acquiring additional users and handling their answers which both required significant manual effort. Nevertheless, we believe that our experiments reliably demonstrate the effectiveness o... | P008: . Considering the better performance of Agentless, we Table 5: Performance comparison across different LLMs on NoCode-bench Full with Agentless. Model Success% Applied% RT% FV-Micro FV-Macro File% #Token Qwen3-235B6.62% 99.37% 75.24% 10.78% 15.77% 39.46% 0.19M GPT-4o 9.31% 97.00% 71.14% 8.68% 17.81% 43.58% 0.11M DeepSeek-v311.83% 99.84% 77.44% 16.02% 24.09% 47.48%0.31M DeepSeek-R1 14.83%95.90% 79.34% 10.53% 25.78% 44.89% 0.57M Average 10.65% 98.03% 75.79% 11.50% 20.86% 43.85% 0.30M use it as the scaffold to evaluate the remaining four models on NoCode-bench Full, and report the results in Table 5. We find that all four models show decreased performance on NoCode-bench Full compared to NoCode-bench Verified. Specifically, the average success rate of the four used models drops from 18.20% to 10.65%, and the accuracy of modified files drops from 49.49% to 43.85%. We further investigate the causes of this phenomenon. Since NoCode-bench Full is a large-scale dataset involving more extens... | P021: are articulated in Section 7. 2. Background 2.1. Low-Code Programming The term “low-code” first appeared in a report published by Forrester Research in 2014 [15]. The original meaning of the term was that applications could be developed quickly with minimal manual coding and minimal up-front investment in setup, training, and deployment. However, in subsequent reports and research on LCP, the definition of the term “low-code” remained in a constant state of flux and ambiguity [16, 17, 18]. To address this ambiguity, the definition proposed by Hirzel [2] is adopted in this paper, which emphasizes that LCP are technologies designed to minimize text-based programming, with the core aim of reducing reliance on manual coding, whether through VPLs, PBD, or PBNL. Whether for professional developers or amateur developers, the purpose of LCP is to save manual programming time and reduce the learning cost of manual programming as much as possible [19]. Traditional LCP tools, such as Power App...</t>
  </si>
  <si>
    <t>P001: While this increased token budget can be a practical constraint for long pipelines, in reliability-critical scientific applications, we prioritize executable correctness and robustness over marginal token savings. | P004: Beyond academic prototypes, practical notebook-based systems, e.g., Google Colab, Replit, also demonstrate the feasibility of interactive code generation and execution. | P021: Developers frequented the platform to delve into issues related to the practical aspects of coding, making the implementation phase the focal point of discussions.</t>
  </si>
  <si>
    <t>For quality assurance and testing, the extraction identifies 6 supporting paper(s): P001, P004, P008, P021, P026, P042. The strongest available evidence should be checked in Evidence_Quotes, especially P001 p.5: 2.3 A PRIORI ESTIMATION WITHBAYESIANOPTIMIZATION We noticed that executing all the generated codes for testing can be computationally expensive. | P004 p.8: Experimental results show that LLM4FaaS achieves high reliability, efficiency and availability while maintaining competitive code quality, making it a viable solution for non-technical users to develop and run tailored applications without requiring any technical expertise. | P008 p.4: This phase ensures that each instance is equipped with a clean and functional containerized environment, establishing a reliable foundation for subsequent testing and analysis..</t>
  </si>
  <si>
    <t>1 paper(s) were coded to ETHICS_ACCESSIBILITY. Representative papers: Agentic Metacognition: Designing a "Self-Aware" Low-Code Agent for Failure Prediction and Human Handoff</t>
  </si>
  <si>
    <t>Evidence converges around the workbook theme 'Ethics and accessibility' where explicit signal sentences were found.</t>
  </si>
  <si>
    <t>P042 p.1: The report discusses the practical and ethical implications of this approach and identifies key directions for future research.</t>
  </si>
  <si>
    <t>Prototype Evaluation: 1</t>
  </si>
  <si>
    <t>P042: should focus on several key areas: • Expanding the experimental design to include a more diverse range of agent failure modes, such as hallucinations, incorrect tool use, and data quality issues [9, 10]. • Conducting user studies to quantitatively measure the impact of the reasoning trace on human trust, user confidence, and long-term skill acquisition. • Developing and testing optimization techniques, such as adaptive methods for model training and inference [20, 23], to reduce the computational and latency overhead of the metacognitive layer without compromising its effectiveness.</t>
  </si>
  <si>
    <t>P042: The report discusses the practical and ethical implications of this approach and identifies key directions for future research.</t>
  </si>
  <si>
    <t>For ethics and accessibility, the extraction identifies 1 supporting paper(s): P042. The strongest available evidence should be checked in Evidence_Quotes, especially P042 p.1: The report discusses the practical and ethical implications of this approach and identifies key directions for future research..</t>
  </si>
  <si>
    <t>P011, P017, P045, P048</t>
  </si>
  <si>
    <t>4 paper(s) were coded to DOMAIN_SPECIFIC. Representative papers: Low-Code and No-Code Development in the Era of Artificial Intelligence: A Systematic Review; Low-code to fight climate change: the Climaborough project; A Configuration-First Framework for Reproducible, Low-Code Localization; Feasibility of Low-Code Development Platforms in Precision Agriculture: Opportunities, Challenges, and Future Directions</t>
  </si>
  <si>
    <t>Evidence converges around the workbook theme 'Domain-specific use' where explicit signal sentences were found.</t>
  </si>
  <si>
    <t>P011 p.1: Most studies focus on applications in healthcare, manufacturing, logistics, and education, and finance, while theoretical engagement and diversity across industries remain limited. | P045 p.1: 1 A Configuration-First Framework for Reproducible, Low-Code Machine Learning: a Localization Use Case Tim Strnad, Blaž Bertalani ˇc, and Carolina Fortuna Abstract-As machine learning (ML) becomes the backbone of critical applications-ranging from logistics to healthcare it becomes even more important to keep the results credible and comparable. | P048 p.10: Developers can build apps in industries like finance, healthcare, and supply chain where transparency and trust are crucial by utilizing the decentralized characteristics of blockchain.</t>
  </si>
  <si>
    <t>Systematic Review: 2</t>
  </si>
  <si>
    <t>P011: on theory, governance, and sector-specific best practices. Keywords: Low-Code; No-Code; Development; Innovation; Artificial Intelligence; Citizen Development. RESUMEN El desarrollo low-code y no-code ha transformado la creación de software al permitir que personas sin conocimientos avanzados de programación construyan aplicaciones mediante interfaces visuales. Con la creciente integración de la inteligencia artificial (IA), estas plataformas están evolucionando hacia entornos inteligentes que aceleran la innovación y reducen la escasez global de desarrolladores especializados. La importancia de esta investigación radica en que aclara cómo la IA potencia el desarrollo LCNC, un campo cada vez más central en la transformación digital y la automatización. Mediante el método de revisión sistemática de la literatura (SLR), el estudio recopiló 1 582 registros iniciales de Scopus, EBSCO y AISeL, aplicando criterios de inclusión y exclusión bajo el enfoque PRISMA hasta llegar a 60 artículos... | P017: In an effort to support the performance tracking of the pilots deployed in the Climaborough project, we presented the concept of the Climaborough City Platform. Specifically, given the project’s goal of fast implementation of climate solutions, we focused on the low-code approach to quickly configure the backend and frontend environment of a no-code dashboard creator for non-technical users, enhanced by advanced interaction methods. Based on the feedback provided by cities, we will improve both aspects. We also plan to study in what other parts of the project architecture (potentially involving other WPs), a low-code strategy could also make sense. For instance, in the creation and execution of climate simulation scenarios. Finally, we plan to connect the Climaborough City Platform to other climate initiatives such as the NetZeroCities platform11 or the Climaborough twin project UP203012. This could include pushing or pulling data from the NetZeroCities knowledge repository or inclu... | P045: of the orchestration logic, confirming the framework’s robust scalability. VIII. THREATS TOVALIDITY We discuss threats to validity following established empirical software engineering guidelines, reflecting limitations identified during the design and evaluation of the LOCALIZE framework. Internal validityconcerns whether observed effects are attributable to the framework rather than confounding factors. The quantitative comparison against a Jupyter notebook baseline relies on functionally equivalent pipelines implemented by the authors. Although both implementations used identical algorithms, datasets, hyperparameters, and evaluation procedures, some implementation bias may remain. To mitigate this risk, both pipelines were validated to produce identical outputs under identical configurations, and execution isolation was enforced in the notebook baseline by running each experiment in a fresh process. Runtime and memory measurements were conducted in a controlled environment with consistent hardware and software configurations, and results were averaged across repeated runs. Nevertheless, transient system effects and library-level nondeterminism may still introduce minor variability, which is inherent to ML experimentation and was minimized but not entirely eliminated. Construct validityaddresses whether the selected metrics capture the intended constructs. Developer effort... | P048: will focus on the selection of appropriate LCDPs and the development of applications specifically designed for PA. This will involve addressing identified challenges such as integration with IoT, improving scalability and adaptability, and refining the user experience. By advancing research in this area, LCDPs can play an important role in the digital transformation of precision agriculture, optimizing operations and contributing to the sustainability and technological advancement of the agricultural sector. Land 2024, 13, 1758 26 of 31 Author Contributions: Conceptualization, E.G., B.T., Ö.B. and Q.L.; Methodology, E.G., B.T., Ö.B. and Q.L.; Investigation, E.G., B.T., Ö.B. and Q.L.; Writing-original draft, E.G., B.T., Ö.B. and Q.L.; Writing-review &amp; editing, E.G., B.T. and Q.L.; Supervision, B.T. and Ö.B. All authors have read and agreed to the published version of the manuscript. Funding: This research received no external funding. Data Availability Statement: The original contrib...</t>
  </si>
  <si>
    <t>P011: The study concluded that the convergence of LCNC and AI marks a shift toward intelligent, citizen-driven software development, underscoring the need for future research on theory, governance, and sector-specific best practices. | P045: Overall, the framework, validated for a localization use case, makes reproducible machine-learning-based model development practical, accessible, and extensible. | P048: This study contributes to the growing knowledge base in agricultural technology, offering valuable insights for researchers, practitioners, and policymakers looking to leverage LCDPs for sustainable and efficient farming practices.</t>
  </si>
  <si>
    <t>For domain-specific use, the extraction identifies 4 supporting paper(s): P011, P017, P045, P048. The strongest available evidence should be checked in Evidence_Quotes, especially P011 p.1: Most studies focus on applications in healthcare, manufacturing, logistics, and education, and finance, while theoretical engagement and diversity across industries remain limited. | P045 p.1: 1 A Configuration-First Framework for Reproducible, Low-Code Machine Learning: a Localization Use Case Tim Strnad, Blaž Bertalani ˇc, and Carolina Fortuna Abstract-As machine learning (ML) becomes the backbone of critical applications-ranging from logistics to healthcare it becomes even more important to keep the results credible and comparable. | P048 p.10: Developers can build apps in industries like finance, healthcare, and supply chain where transparency and trust are crucial by utilizing the decentralized characteristics of blockchain..</t>
  </si>
  <si>
    <t>P001, P002, P003, P004, P005, P007, P008, P009, P012, P013, P014, P018, P019, P020, P021, P022, P023, P024, P025, P026, P027, P028, P029, P030, P032, P033, P034, P037, P038, P039, P040, P041, P042, P043, P044, P045, P046, P047, P049, P050</t>
  </si>
  <si>
    <t>40 paper(s) were coded to PLATFORM_COMPARISON. Representative papers: AI-for-Science Low-code Platform with Bayesian Adversarial Multi-Agent Framework; Low-code and no-code with BESSER to create and deploy smart web applications; Design Behaviour and Interface Consistency in Generative No-Code Tools: A Systematic Literature Review; LLM4FaaS: No-Code Application Development using LLMs and FaaS; Exploring Influence Factors on LLM Suitability for No-Code Development of End User IoT Applications</t>
  </si>
  <si>
    <t>Evidence converges around the workbook theme 'Platform comparison' where explicit signal sentences were found.</t>
  </si>
  <si>
    <t>P001 p.2: Published as a conference paper at ICLR 2026 Figure 1: Comparison between three code generation paradigms: Single LLM generator, multi-agent role playing and the proposed Bayesian adversarial multi-agent framework. constrain the performance ceiling of LLM-based coding platforms, as their capabilities are inherently bounded by the underlying LLM’s intelligence level. | P003 p.7: Guthardt T. [40] 2024 Empirical comparison of programmers and citizen developers using a prototype no-code builder. | P004 p.5: LLM4FaaS: No-Code Application Development using LLMs and FaaS UCC ’25, December 1-4, 2025, Nantes, France Experiment Pylint Score (avg±std) CC (avg±std) MI (avg±std) HALS Effort (median) Baseline3.18±2.34 8.51±6.99 75.13±7.6775.31 Human Developer8.30±1.38 7.06±4.6655.63±15.00272.32 LLM4FaaS6.13±1.85 9.43±7.4278.34±11.8584.26 Open Interpreter7.25±2.06 6.62±6.58 79.73±12.50 24.73 Table 1: Comparison of Code Quality Metrics across Experiments: The table reports the average (avg) and standard deviation (std) of Pylint scores, Cyclomatic Complexity (CC), Maintainability Index (MI), and the median HALS Effort.</t>
  </si>
  <si>
    <t>Case Study: 6; Prototype Evaluation: 5; Survey: 5; Document Analysis: 3; Interview: 3; Experiment: 3; Benchmarking: 2; Systematic Review: 2; Literature Review: 1; Focus Group: 1</t>
  </si>
  <si>
    <t>For platform comparison, the extraction identifies 40 supporting paper(s): P001, P002, P003, P004, P005, P007, P008, P009, P012, P013, P014, P018, P019, P020, P021, P022, P023, P024, P025, P026, P027, P028, P029, P030, P032, P033, P034, P037, P038, P039, P040, P041, P042, P043, P044, P045, P046, P047, P049, P050. The strongest available evidence should be checked in Evidence_Quotes, especially P001 p.2: Published as a conference paper at ICLR 2026 Figure 1: Comparison between three code generation paradigms: Single LLM generator, multi-agent role playing and the proposed Bayesian adversarial multi-agent framework. constrain the performance ceiling of LLM-based coding platforms, as their capabilities are inherently bounded by the underlying LLM’s intelligence level. | P003 p.7: Guthardt T. [40] 2024 Empirical comparison of programmers and citizen developers using a prototype no-code builder. | P004 p.5: LLM4FaaS: No-Code Application Development using LLMs and FaaS UCC ’25, December 1-4, 2025, Nantes, France Experiment Pylint Score (avg±std) CC (avg±std) MI (avg±std) HALS Effort (median) Baseline3.18±2.34 8.51±6.99 75.13±7.6775.31 Human Developer8.30±1.38 7.06±4.6655.63±15.00272.32 LLM4FaaS6.13±1.85 9.43±7.4278.34±11.8584.26 Open Interpreter7.25±2.06 6.62±6.58 79.73±12.50 24.73 Table 1: Comparison of Code Quality Metrics across Experiments: The table reports the average (avg) and standard deviation (std) of Pylint scores, Cyclomatic Complexity (CC), Maintainability Index (MI), and the median HALS Effort..</t>
  </si>
  <si>
    <t>P002, P010, P020, P022, P031, P033, P034, P036, P039, P043, P044</t>
  </si>
  <si>
    <t>11 paper(s) were coded to MDE_VISUAL_PROGRAMMING. Representative papers: Low-code and no-code with BESSER to create and deploy smart web applications; Towards LLM-powered consistency in model-based low-code platforms; Building BESSER: an open-source low-code platform ⋆ Iv´ an Alfonso1, Aaron Conrardy1, Armen Sulejmani1, Atefeh Nirumand1, Fitash; Turning Low-Code Development Platforms into True No-Code with LLMs; AIAP: A No-Code Workflow Builder for Non-Experts with Natural Language and Multi-Agent Collaboration</t>
  </si>
  <si>
    <t>Evidence converges around the workbook theme 'Model-driven / visual programming roots' where explicit signal sentences were found.</t>
  </si>
  <si>
    <t>P002 p.2: Low-code development, the latest reincarnation of model-driven engineering approaches, addresses this demand but introduces challenges related to the growing complexity of modern software requirements, such as AI-powered agents. | P002 p.4: View components are mapped to React components including data tables, interactive forms, method invocation buttons, and chart visualizations. | P010 p.1: Index Terms-LLM, AI, low-code development platform, metamodel, model-driven engineering, DSL, consistency I.</t>
  </si>
  <si>
    <t>Prototype Evaluation: 3; Case Study: 2; Experiment: 2; Survey: 2; Document Analysis: 1; Interview: 1</t>
  </si>
  <si>
    <t>P010: . | P020: , we plan to add smart components to BESSER itself, facilitating the creation of B-UML models via low-modeling techniques [3] such as chatbots or automatic model inference from (semi)structured data. | P022: ; Section 7 presents related work; Section 8 concludes. 2 Foundations This section gives an overview of the relevant foundations and background required for the present work. 2.1 Low-/No-Code Development LCDPs allow citizen developers (developers with little or no software engineering background [22]) to rapidly deliver, set up, and deploy applications, reducing the amount of hand-written code to a minimum [29]. Therefore they are appealing to a larger group of stakeholders, as less or no software engineering knowledge is required to develop applications that meet the stakeholders specific needs. One relevant aspect of LCDP is the rapid creation, deployment, and release of new versions of the created application. As webbased systems are often easier and cheaper to deploy than desktop ones [31], they are more aligned with low-code development [28]. LCDPs facilitate development through, e.g., drag’n’drop-oriented interactions or the composition of pre-built components or widgets. Idea... | P031: may address. 7.1 Harmonizing User Intent and System Understanding One of the most persistent challenges non-experts face when interacting with AI systems is articulating their intent clearly while grasping the system’s true capabilities [39]. Users often default to intuition, heuristics, or trial-and-error strategies [51], rather than employing systematic planning. This results in what Subramonyam et al. [39] term the “intentionality gap, ” where users struggle to align their high-level goals with system behaviors and outputs. AIAP addresses this gap through a combination of visual programming and multi-agent collaboration. In particular, the AIGenerated Suggestion mechanism functions not only as an autocomplete tool, but also as a cognitive mediator-it reinterprets loosely structured prompts and transforms them into clear, sequenced operations. This interaction style builds on and extends the concept of “co-envisioning” [39], in which systems actively participate in goal clarificat...</t>
  </si>
  <si>
    <t>P020: Section 3 showcases some practical applications of BESSER through case studies. | P022: But, over the past years, the context size of mainstream LLMs such as ChatGPT exponentially grew, making the context size no longer a practical limit. | P031: These patterns can be interpreted as practical manifestations of the design gaps identified by Subramonyam et al.[39].</t>
  </si>
  <si>
    <t>For model-driven / visual programming roots, the extraction identifies 11 supporting paper(s): P002, P010, P020, P022, P031, P033, P034, P036, P039, P043, P044. The strongest available evidence should be checked in Evidence_Quotes, especially P002 p.2: Low-code development, the latest reincarnation of model-driven engineering approaches, addresses this demand but introduces challenges related to the growing complexity of modern software requirements, such as AI-powered agents. | P002 p.4: View components are mapped to React components including data tables, interactive forms, method invocation buttons, and chart visualizations. | P010 p.1: Index Terms-LLM, AI, low-code development platform, metamodel, model-driven engineering, DSL, consistency I..</t>
  </si>
  <si>
    <t>P007, P036</t>
  </si>
  <si>
    <t>2 paper(s) were coded to LIMITATIONS_GAPS. Representative papers: Fine-Tune an SLM or Prompt an LLM? The Case of Generating Low-Code Workflows; Towards No-Code Programming of Cobots: Experiments with Code Synthesis by Large Code Models for Conversational Programming</t>
  </si>
  <si>
    <t>Evidence converges around the workbook theme 'Limitations and research gaps' where explicit signal sentences were found.</t>
  </si>
  <si>
    <t>P036 p.1: To address these limitations, we explore using Large Language Models (LLMs), and in particular, their abilities of doing in-context learning, for conversational code generation.</t>
  </si>
  <si>
    <t>Case Study: 1; Survey: 1</t>
  </si>
  <si>
    <t>P007: . We address the third drawback by computing the percentage of generated examples with at least one such structure error. While the most complete metric is FlowSim of outline and inputs , we also report FlowSim of outline, and the percentage of examples with structure errors. 5 Results Figure 4 shows the results for our fine-tuned SLM and all other LLMs on the small TEST and the larger OOD datasets. MistralNemo-12B-Instruct performs poorly across the board confirming that SLMs require workflow in-domain training data. LLMs of the "mini" sort, even o3-mini with medium reasoning, also do not perform well. When we prompt larger LLMs, we see competitive results, especially with Gemini-2.0-Flash and GPT-4o. As generating the outline is a simpler task, we see a larger gap between our fine-tuned SLM and these models when we generate the complete workflow (outline and inputs). This gap is 7.2% on TEST but 12.4% on OOD, around 10% if we average the two. All models perform worse when the requ... | P036: , we plan to expand the setup to handle more complex sequence arrangements added with dialogue management. Additionally, we will explore fine-tuning the code generation LLMs to see if it improves their overall performance. Though LLMs have shown promising performance for the 2.5D building task, there are limitations. The seeds for target board generation focus only on simple objects; we plan to include complex objects to better assess capabilities. The template-based instructions were designed to be clear and unambiguous, establishing a performance baseline. Future work will include environmental variability, collaborative scenarios, and dialogue management to enhance real-world simulation. Despite careful prompt curation, models sometimes produce hallucinations. Refining prompts based on feedback from execution errors can help. Instruction-tuned LLMs for code generation may struggle with multi-turn conversations, and applying this work to real-world assembly tasks will require adhe...</t>
  </si>
  <si>
    <t>For limitations and research gaps, the extraction identifies 2 supporting paper(s): P007, P036. The strongest available evidence should be checked in Evidence_Quotes, especially P036 p.1: To address these limitations, we explore using Large Language Models (LLMs), and in particular, their abilities of doing in-context learning, for conversational code generation..</t>
  </si>
  <si>
    <t>Paper_Count</t>
  </si>
  <si>
    <t>Included_Count</t>
  </si>
  <si>
    <t>Typical_Use_In_LCNC_Review</t>
  </si>
  <si>
    <t>Measures perceptions, adoption, attitudes, barriers, or usage patterns.</t>
  </si>
  <si>
    <t>Automated extraction assigned 8 paper(s): P006, P016, P024, P025, P026, P030, P034, P036.</t>
  </si>
  <si>
    <t>Explores experiences, governance, organizational processes, and developer/user perspectives.</t>
  </si>
  <si>
    <t>Automated extraction assigned 3 paper(s): P012, P013, P043.</t>
  </si>
  <si>
    <t>Examines LCNC implementation in a specific organization or project.</t>
  </si>
  <si>
    <t>Automated extraction assigned 6 paper(s): P007, P020, P033, P040, P046, P047.</t>
  </si>
  <si>
    <t>Tests outcomes such as speed, usability, quality, or learning effects.</t>
  </si>
  <si>
    <t>Automated extraction assigned 3 paper(s): P022, P023, P044.</t>
  </si>
  <si>
    <t>Controlled Experiment</t>
  </si>
  <si>
    <t>Compares LCNC against traditional development or other conditions.</t>
  </si>
  <si>
    <t>No papers assigned by automated extraction.</t>
  </si>
  <si>
    <t>Field Study</t>
  </si>
  <si>
    <t>Observes LCNC use in real-world context.</t>
  </si>
  <si>
    <t>Collects group perspectives from users, developers, or stakeholders.</t>
  </si>
  <si>
    <t>Automated extraction assigned 1 paper(s): P027.</t>
  </si>
  <si>
    <t>Analyzes documentation, reports, repositories, or platform materials.</t>
  </si>
  <si>
    <t>Automated extraction assigned 3 paper(s): P002, P028, P032.</t>
  </si>
  <si>
    <t>Synthesizes prior LCNC-related literature.</t>
  </si>
  <si>
    <t>Automated extraction assigned 1 paper(s): P009.</t>
  </si>
  <si>
    <t>Uses explicit search and screening protocol.</t>
  </si>
  <si>
    <t>Automated extraction assigned 5 paper(s): P003, P011, P015, P018, P048.</t>
  </si>
  <si>
    <t>Scoping Review</t>
  </si>
  <si>
    <t>Maps concepts, evidence types, and gaps.</t>
  </si>
  <si>
    <t>Design Science</t>
  </si>
  <si>
    <t>Builds/evaluates an artifact, framework, or method.</t>
  </si>
  <si>
    <t>Evaluates a proposed LCNC tool, platform feature, or prototype.</t>
  </si>
  <si>
    <t>Automated extraction assigned 8 paper(s): P004, P010, P014, P031, P035, P039, P042, P050.</t>
  </si>
  <si>
    <t>Compares performance or features across platforms/tools.</t>
  </si>
  <si>
    <t>Automated extraction assigned 2 paper(s): P001, P008.</t>
  </si>
  <si>
    <t>Mixed Methods</t>
  </si>
  <si>
    <t>Combines quantitative and qualitative evidence.</t>
  </si>
  <si>
    <t>Not Stated</t>
  </si>
  <si>
    <t>Method unclear or not described.</t>
  </si>
  <si>
    <t>Quality_Score_0_2</t>
  </si>
  <si>
    <t>Not Started</t>
  </si>
  <si>
    <t>In Progress</t>
  </si>
  <si>
    <t>Checked - OK</t>
  </si>
  <si>
    <t>Exclude</t>
  </si>
  <si>
    <t>Conceptual Paper</t>
  </si>
  <si>
    <t>Checked - Minor Issues</t>
  </si>
  <si>
    <t>Minor component</t>
  </si>
  <si>
    <t>Book Chapter</t>
  </si>
  <si>
    <t>Framework/Model</t>
  </si>
  <si>
    <t>Both</t>
  </si>
  <si>
    <t>Weak</t>
  </si>
  <si>
    <t>Needs Human Check</t>
  </si>
  <si>
    <t>Checked - Major Issues</t>
  </si>
  <si>
    <t>Duplicate</t>
  </si>
  <si>
    <t>Context only</t>
  </si>
  <si>
    <t>Speculative</t>
  </si>
  <si>
    <t>No</t>
  </si>
  <si>
    <t>Not Scored</t>
  </si>
  <si>
    <t>Excluded</t>
  </si>
  <si>
    <t>Background Only</t>
  </si>
  <si>
    <t>Thesis</t>
  </si>
  <si>
    <t>Conceptual</t>
  </si>
  <si>
    <t>Not Applicable</t>
  </si>
  <si>
    <t>Background only</t>
  </si>
  <si>
    <t>Report</t>
  </si>
  <si>
    <t>Case Report</t>
  </si>
  <si>
    <t>Benchmark/Comparison</t>
  </si>
  <si>
    <t>Not Empirical</t>
  </si>
  <si>
    <t>Other</t>
  </si>
  <si>
    <t>Position Paper</t>
  </si>
  <si>
    <t>Ethnography</t>
  </si>
  <si>
    <t>Review Extraction Dashboard</t>
  </si>
  <si>
    <t>Metric</t>
  </si>
  <si>
    <t>Value</t>
  </si>
  <si>
    <t>Top Method Counts</t>
  </si>
  <si>
    <t>Count</t>
  </si>
  <si>
    <t>Theme Counts</t>
  </si>
  <si>
    <t>Total paper slots</t>
  </si>
  <si>
    <t>Extraction completed</t>
  </si>
  <si>
    <t>Needs human check</t>
  </si>
  <si>
    <t>Included papers</t>
  </si>
  <si>
    <t>Excluded papers</t>
  </si>
  <si>
    <t>Maybe / undecided</t>
  </si>
  <si>
    <t>Average quality score</t>
  </si>
  <si>
    <t>Strong quality papers</t>
  </si>
  <si>
    <t>Moderate quality papers</t>
  </si>
  <si>
    <t>Weak quality papers</t>
  </si>
  <si>
    <t>How to use this dashboard</t>
  </si>
  <si>
    <t>Counts update as the AI agent fills Master_Extraction and Quality_Appraisal.</t>
  </si>
  <si>
    <t>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</si>
</sst>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Carlito"/>
    </font>
    <font>
      <b/>
      <sz val="11"/>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5B9BD5"/>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0" fillId="0" borderId="0" xfId="0" applyAlignment="1">
      <alignment wrapText="1"/>
    </xf>
    <xf numFmtId="0" fontId="3" fillId="2" borderId="0" xfId="0" applyFont="1" applyFill="1" applyAlignment="1">
      <alignment horizontal="center" wrapText="1"/>
    </xf>
    <xf numFmtId="0" fontId="3" fillId="2" borderId="0" xfId="0" applyFont="1" applyFill="1" applyAlignment="1">
      <alignment horizontal="center" vertical="top" wrapText="1"/>
    </xf>
    <xf numFmtId="0" fontId="0" fillId="0" borderId="0" xfId="0" applyAlignment="1">
      <alignment vertical="top" wrapText="1"/>
    </xf>
    <xf numFmtId="0" fontId="3" fillId="3" borderId="0" xfId="0" applyFont="1" applyFill="1" applyAlignment="1">
      <alignment horizontal="center"/>
    </xf>
    <xf numFmtId="0" fontId="2" fillId="4" borderId="0" xfId="0" applyFont="1" applyFill="1"/>
  </cellXfs>
  <cellStyles count="1">
    <cellStyle name="Normal" xfId="0" builtinId="0"/>
  </cellStyles>
  <dxfs count="2">
    <dxf>
      <font>
        <color rgb="FF9C6500"/>
      </font>
      <fill>
        <patternFill>
          <bgColor rgb="FFFCE4D6"/>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Papers by Method</a:t>
            </a:r>
          </a:p>
        </c:rich>
      </c:tx>
      <c:overlay val="0"/>
    </c:title>
    <c:autoTitleDeleted val="0"/>
    <c:plotArea>
      <c:layout/>
      <c:barChart>
        <c:barDir val="col"/>
        <c:grouping val="clustered"/>
        <c:varyColors val="0"/>
        <c:ser>
          <c:idx val="0"/>
          <c:order val="0"/>
          <c:tx>
            <c:v>Count</c:v>
          </c:tx>
          <c:invertIfNegative val="1"/>
          <c:cat>
            <c:strRef>
              <c:f>Dashboard!$D$3:$D$10</c:f>
              <c:strCache>
                <c:ptCount val="8"/>
                <c:pt idx="0">
                  <c:v>Survey</c:v>
                </c:pt>
                <c:pt idx="1">
                  <c:v>Interview</c:v>
                </c:pt>
                <c:pt idx="2">
                  <c:v>Case Study</c:v>
                </c:pt>
                <c:pt idx="3">
                  <c:v>Experiment</c:v>
                </c:pt>
                <c:pt idx="4">
                  <c:v>Design Science</c:v>
                </c:pt>
                <c:pt idx="5">
                  <c:v>Prototype Evaluation</c:v>
                </c:pt>
                <c:pt idx="6">
                  <c:v>Benchmarking</c:v>
                </c:pt>
                <c:pt idx="7">
                  <c:v>Literature Review</c:v>
                </c:pt>
              </c:strCache>
            </c:strRef>
          </c:cat>
          <c:val>
            <c:numRef>
              <c:f>Dashboard!$E$3:$E$10</c:f>
              <c:numCache>
                <c:formatCode>General</c:formatCode>
                <c:ptCount val="8"/>
                <c:pt idx="0">
                  <c:v>8</c:v>
                </c:pt>
                <c:pt idx="1">
                  <c:v>3</c:v>
                </c:pt>
                <c:pt idx="2">
                  <c:v>6</c:v>
                </c:pt>
                <c:pt idx="3">
                  <c:v>3</c:v>
                </c:pt>
                <c:pt idx="4">
                  <c:v>0</c:v>
                </c:pt>
                <c:pt idx="5">
                  <c:v>8</c:v>
                </c:pt>
                <c:pt idx="6">
                  <c:v>2</c:v>
                </c:pt>
                <c:pt idx="7">
                  <c:v>1</c:v>
                </c:pt>
              </c:numCache>
            </c:numRef>
          </c:val>
          <c:extLst>
            <c:ext xmlns:c16="http://schemas.microsoft.com/office/drawing/2014/chart" uri="{C3380CC4-5D6E-409C-BE32-E72D297353CC}">
              <c16:uniqueId val="{00000000-7240-47AB-A6A8-1965EF48E00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Papers by Theme</a:t>
            </a:r>
          </a:p>
        </c:rich>
      </c:tx>
      <c:overlay val="0"/>
    </c:title>
    <c:autoTitleDeleted val="0"/>
    <c:plotArea>
      <c:layout/>
      <c:barChart>
        <c:barDir val="col"/>
        <c:grouping val="clustered"/>
        <c:varyColors val="0"/>
        <c:ser>
          <c:idx val="0"/>
          <c:order val="0"/>
          <c:tx>
            <c:v>Count</c:v>
          </c:tx>
          <c:invertIfNegative val="1"/>
          <c:cat>
            <c:strRef>
              <c:f>Dashboard!$G$3:$G$12</c:f>
              <c:strCache>
                <c:ptCount val="10"/>
                <c:pt idx="0">
                  <c:v>CITIZEN_DEV</c:v>
                </c:pt>
                <c:pt idx="1">
                  <c:v>PRODUCTIVITY_SPEED</c:v>
                </c:pt>
                <c:pt idx="2">
                  <c:v>GOVERNANCE</c:v>
                </c:pt>
                <c:pt idx="3">
                  <c:v>SECURITY_PRIVACY</c:v>
                </c:pt>
                <c:pt idx="4">
                  <c:v>SCALABILITY</c:v>
                </c:pt>
                <c:pt idx="5">
                  <c:v>MAINTAINABILITY</c:v>
                </c:pt>
                <c:pt idx="6">
                  <c:v>VENDOR_LOCKIN</c:v>
                </c:pt>
                <c:pt idx="7">
                  <c:v>AI_AUTOMATION</c:v>
                </c:pt>
                <c:pt idx="8">
                  <c:v>EDUCATION</c:v>
                </c:pt>
                <c:pt idx="9">
                  <c:v>LIMITATIONS_GAPS</c:v>
                </c:pt>
              </c:strCache>
            </c:strRef>
          </c:cat>
          <c:val>
            <c:numRef>
              <c:f>Dashboard!$H$3:$H$12</c:f>
              <c:numCache>
                <c:formatCode>General</c:formatCode>
                <c:ptCount val="10"/>
                <c:pt idx="0">
                  <c:v>10</c:v>
                </c:pt>
                <c:pt idx="1">
                  <c:v>3</c:v>
                </c:pt>
                <c:pt idx="2">
                  <c:v>7</c:v>
                </c:pt>
                <c:pt idx="3">
                  <c:v>2</c:v>
                </c:pt>
                <c:pt idx="4">
                  <c:v>6</c:v>
                </c:pt>
                <c:pt idx="5">
                  <c:v>4</c:v>
                </c:pt>
                <c:pt idx="6">
                  <c:v>3</c:v>
                </c:pt>
                <c:pt idx="7">
                  <c:v>34</c:v>
                </c:pt>
                <c:pt idx="8">
                  <c:v>18</c:v>
                </c:pt>
                <c:pt idx="9">
                  <c:v>2</c:v>
                </c:pt>
              </c:numCache>
            </c:numRef>
          </c:val>
          <c:extLst>
            <c:ext xmlns:c16="http://schemas.microsoft.com/office/drawing/2014/chart" uri="{C3380CC4-5D6E-409C-BE32-E72D297353CC}">
              <c16:uniqueId val="{00000000-3822-4326-9BFD-8677CE75FE7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13</xdr:row>
      <xdr:rowOff>0</xdr:rowOff>
    </xdr:from>
    <xdr:to>
      <xdr:col>8</xdr:col>
      <xdr:colOff>0</xdr:colOff>
      <xdr:row>28</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0</xdr:colOff>
      <xdr:row>18</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asterExtractionTable" displayName="MasterExtractionTable" ref="A1:CX51">
  <tableColumns count="102">
    <tableColumn id="1" xr3:uid="{00000000-0010-0000-0000-000001000000}" name="Paper_ID"/>
    <tableColumn id="2" xr3:uid="{00000000-0010-0000-0000-000002000000}" name="File_Name"/>
    <tableColumn id="3" xr3:uid="{00000000-0010-0000-0000-000003000000}" name="PDF_Path_or_Link"/>
    <tableColumn id="4" xr3:uid="{00000000-0010-0000-0000-000004000000}" name="Extraction_Status"/>
    <tableColumn id="6" xr3:uid="{00000000-0010-0000-0000-000006000000}" name="Extraction_Date"/>
    <tableColumn id="7" xr3:uid="{00000000-0010-0000-0000-000007000000}" name="Reviewer_Check_Status"/>
    <tableColumn id="8" xr3:uid="{00000000-0010-0000-0000-000008000000}" name="Human_Reviewer"/>
    <tableColumn id="9" xr3:uid="{00000000-0010-0000-0000-000009000000}" name="Confidence_Overall_1_5"/>
    <tableColumn id="10" xr3:uid="{00000000-0010-0000-0000-00000A000000}" name="Notes_For_Human_Check"/>
    <tableColumn id="11" xr3:uid="{00000000-0010-0000-0000-00000B000000}" name="DOI"/>
    <tableColumn id="12" xr3:uid="{00000000-0010-0000-0000-00000C000000}" name="Title"/>
    <tableColumn id="13" xr3:uid="{00000000-0010-0000-0000-00000D000000}" name="Authors"/>
    <tableColumn id="14" xr3:uid="{00000000-0010-0000-0000-00000E000000}" name="Year"/>
    <tableColumn id="15" xr3:uid="{00000000-0010-0000-0000-00000F000000}" name="Publication_Type"/>
    <tableColumn id="16" xr3:uid="{00000000-0010-0000-0000-000010000000}" name="Venue_Journal_Conference"/>
    <tableColumn id="17" xr3:uid="{00000000-0010-0000-0000-000011000000}" name="Publisher"/>
    <tableColumn id="19" xr3:uid="{00000000-0010-0000-0000-000013000000}" name="Discipline_Field"/>
    <tableColumn id="20" xr3:uid="{00000000-0010-0000-0000-000014000000}" name="Keywords_Author_Provided"/>
    <tableColumn id="21" xr3:uid="{00000000-0010-0000-0000-000015000000}" name="Abstract_Short"/>
    <tableColumn id="22" xr3:uid="{00000000-0010-0000-0000-000016000000}" name="Inclusion_Decision"/>
    <tableColumn id="24" xr3:uid="{00000000-0010-0000-0000-000018000000}" name="Relevance_to_Review_1_5"/>
    <tableColumn id="25" xr3:uid="{00000000-0010-0000-0000-000019000000}" name="LCNC_Focus_Level"/>
    <tableColumn id="26" xr3:uid="{00000000-0010-0000-0000-00001A000000}" name="Study_Object"/>
    <tableColumn id="27" xr3:uid="{00000000-0010-0000-0000-00001B000000}" name="Primary_LCNC_Topic"/>
    <tableColumn id="28" xr3:uid="{00000000-0010-0000-0000-00001C000000}" name="Secondary_Topics"/>
    <tableColumn id="29" xr3:uid="{00000000-0010-0000-0000-00001D000000}" name="Review_Question_Link"/>
    <tableColumn id="30" xr3:uid="{00000000-0010-0000-0000-00001E000000}" name="Why_This_Paper_Matters"/>
    <tableColumn id="31" xr3:uid="{00000000-0010-0000-0000-00001F000000}" name="Definition_of_Low_Code"/>
    <tableColumn id="32" xr3:uid="{00000000-0010-0000-0000-000020000000}" name="Definition_of_No_Code"/>
    <tableColumn id="33" xr3:uid="{00000000-0010-0000-0000-000021000000}" name="Related_Terms_Used"/>
    <tableColumn id="34" xr3:uid="{00000000-0010-0000-0000-000022000000}" name="Theoretical_Framework"/>
    <tableColumn id="35" xr3:uid="{00000000-0010-0000-0000-000023000000}" name="Key_Constructs"/>
    <tableColumn id="36" xr3:uid="{00000000-0010-0000-0000-000024000000}" name="Boundary_or_Scope_Conditions"/>
    <tableColumn id="37" xr3:uid="{00000000-0010-0000-0000-000025000000}" name="Paper_Category"/>
    <tableColumn id="38" xr3:uid="{00000000-0010-0000-0000-000026000000}" name="Research_Type"/>
    <tableColumn id="39" xr3:uid="{00000000-0010-0000-0000-000027000000}" name="Study_Design"/>
    <tableColumn id="40" xr3:uid="{00000000-0010-0000-0000-000028000000}" name="Research_Method"/>
    <tableColumn id="41" xr3:uid="{00000000-0010-0000-0000-000029000000}" name="Data_Type"/>
    <tableColumn id="42" xr3:uid="{00000000-0010-0000-0000-00002A000000}" name="Unit_of_Analysis"/>
    <tableColumn id="43" xr3:uid="{00000000-0010-0000-0000-00002B000000}" name="Industry_Domain"/>
    <tableColumn id="44" xr3:uid="{00000000-0010-0000-0000-00002C000000}" name="Application_Domain"/>
    <tableColumn id="45" xr3:uid="{00000000-0010-0000-0000-00002D000000}" name="Target_User_Group"/>
    <tableColumn id="46" xr3:uid="{00000000-0010-0000-0000-00002E000000}" name="Platform_or_Tool_Studied"/>
    <tableColumn id="47" xr3:uid="{00000000-0010-0000-0000-00002F000000}" name="Technology_Stack_or_Ecosystem"/>
    <tableColumn id="48" xr3:uid="{00000000-0010-0000-0000-000030000000}" name="Research_Questions_or_Hypotheses"/>
    <tableColumn id="49" xr3:uid="{00000000-0010-0000-0000-000031000000}" name="Data_Source"/>
    <tableColumn id="50" xr3:uid="{00000000-0010-0000-0000-000032000000}" name="Sample_Size"/>
    <tableColumn id="51" xr3:uid="{00000000-0010-0000-0000-000033000000}" name="Sampling_Strategy"/>
    <tableColumn id="52" xr3:uid="{00000000-0010-0000-0000-000034000000}" name="Participants_Profile"/>
    <tableColumn id="53" xr3:uid="{00000000-0010-0000-0000-000035000000}" name="Time_Period"/>
    <tableColumn id="54" xr3:uid="{00000000-0010-0000-0000-000036000000}" name="Location_Context"/>
    <tableColumn id="55" xr3:uid="{00000000-0010-0000-0000-000037000000}" name="Instruments_Used"/>
    <tableColumn id="56" xr3:uid="{00000000-0010-0000-0000-000038000000}" name="Variables_or_Measures"/>
    <tableColumn id="57" xr3:uid="{00000000-0010-0000-0000-000039000000}" name="Analysis_Techniques"/>
    <tableColumn id="58" xr3:uid="{00000000-0010-0000-0000-00003A000000}" name="Validity_Reliability_Checks"/>
    <tableColumn id="59" xr3:uid="{00000000-0010-0000-0000-00003B000000}" name="Main_Findings_Detailed"/>
    <tableColumn id="60" xr3:uid="{00000000-0010-0000-0000-00003C000000}" name="Claimed_Benefits"/>
    <tableColumn id="61" xr3:uid="{00000000-0010-0000-0000-00003D000000}" name="Claimed_Challenges"/>
    <tableColumn id="62" xr3:uid="{00000000-0010-0000-0000-00003E000000}" name="Security_Privacy_Findings"/>
    <tableColumn id="63" xr3:uid="{00000000-0010-0000-0000-00003F000000}" name="Governance_Findings"/>
    <tableColumn id="64" xr3:uid="{00000000-0010-0000-0000-000040000000}" name="Scalability_Maintainability_Findings"/>
    <tableColumn id="65" xr3:uid="{00000000-0010-0000-0000-000041000000}" name="Productivity_Findings"/>
    <tableColumn id="66" xr3:uid="{00000000-0010-0000-0000-000042000000}" name="Quality_Findings"/>
    <tableColumn id="67" xr3:uid="{00000000-0010-0000-0000-000043000000}" name="Skills_Role_Findings"/>
    <tableColumn id="68" xr3:uid="{00000000-0010-0000-0000-000044000000}" name="Education_Training_Findings"/>
    <tableColumn id="69" xr3:uid="{00000000-0010-0000-0000-000045000000}" name="AI_Automation_Findings"/>
    <tableColumn id="70" xr3:uid="{00000000-0010-0000-0000-000046000000}" name="Economic_or_Business_Findings"/>
    <tableColumn id="71" xr3:uid="{00000000-0010-0000-0000-000047000000}" name="Contradictions_or_Nuances"/>
    <tableColumn id="72" xr3:uid="{00000000-0010-0000-0000-000048000000}" name="Authors_Interpretation"/>
    <tableColumn id="73" xr3:uid="{00000000-0010-0000-0000-000049000000}" name="Key_Quote_1"/>
    <tableColumn id="74" xr3:uid="{00000000-0010-0000-0000-00004A000000}" name="Key_Quote_1_Page"/>
    <tableColumn id="75" xr3:uid="{00000000-0010-0000-0000-00004B000000}" name="Key_Quote_2"/>
    <tableColumn id="76" xr3:uid="{00000000-0010-0000-0000-00004C000000}" name="Key_Quote_2_Page"/>
    <tableColumn id="77" xr3:uid="{00000000-0010-0000-0000-00004D000000}" name="Most_Important_Table_Figure"/>
    <tableColumn id="78" xr3:uid="{00000000-0010-0000-0000-00004E000000}" name="Important_Statistics_or_Numbers"/>
    <tableColumn id="79" xr3:uid="{00000000-0010-0000-0000-00004F000000}" name="Evidence_Strength"/>
    <tableColumn id="80" xr3:uid="{00000000-0010-0000-0000-000050000000}" name="Evidence_Notes"/>
    <tableColumn id="81" xr3:uid="{00000000-0010-0000-0000-000051000000}" name="Authors_Limitations"/>
    <tableColumn id="82" xr3:uid="{00000000-0010-0000-0000-000052000000}" name="Your_Critical_Limitations"/>
    <tableColumn id="83" xr3:uid="{00000000-0010-0000-0000-000053000000}" name="Research_Gaps_Identified"/>
    <tableColumn id="84" xr3:uid="{00000000-0010-0000-0000-000054000000}" name="Future_Work_Suggested"/>
    <tableColumn id="85" xr3:uid="{00000000-0010-0000-0000-000055000000}" name="Practical_Implications"/>
    <tableColumn id="86" xr3:uid="{00000000-0010-0000-0000-000056000000}" name="Theoretical_Implications"/>
    <tableColumn id="87" xr3:uid="{00000000-0010-0000-0000-000057000000}" name="Policy_Governance_Implications"/>
    <tableColumn id="88" xr3:uid="{00000000-0010-0000-0000-000058000000}" name="Theme_Code_1"/>
    <tableColumn id="89" xr3:uid="{00000000-0010-0000-0000-000059000000}" name="Theme_Code_2"/>
    <tableColumn id="90" xr3:uid="{00000000-0010-0000-0000-00005A000000}" name="Theme_Code_3"/>
    <tableColumn id="91" xr3:uid="{00000000-0010-0000-0000-00005B000000}" name="Theme_Code_4"/>
    <tableColumn id="92" xr3:uid="{00000000-0010-0000-0000-00005C000000}" name="Method_Code"/>
    <tableColumn id="93" xr3:uid="{00000000-0010-0000-0000-00005D000000}" name="Domain_Code"/>
    <tableColumn id="94" xr3:uid="{00000000-0010-0000-0000-00005E000000}" name="Quality_Score_Total"/>
    <tableColumn id="95" xr3:uid="{00000000-0010-0000-0000-00005F000000}" name="Quality_Rating"/>
    <tableColumn id="96" xr3:uid="{00000000-0010-0000-0000-000060000000}" name="Use_In_Final_Review"/>
    <tableColumn id="97" xr3:uid="{00000000-0010-0000-0000-000061000000}" name="Best_Section_For_Citation"/>
    <tableColumn id="98" xr3:uid="{00000000-0010-0000-0000-000062000000}" name="Suggested_Claim_This_Paper_Supports"/>
    <tableColumn id="99" xr3:uid="{00000000-0010-0000-0000-000063000000}" name="Contrasts_With_Papers"/>
    <tableColumn id="100" xr3:uid="{00000000-0010-0000-0000-000064000000}" name="Cluster_Group"/>
    <tableColumn id="101" xr3:uid="{00000000-0010-0000-0000-000065000000}" name="One_Sentence_Takeaway"/>
    <tableColumn id="102" xr3:uid="{00000000-0010-0000-0000-000066000000}" name="Agent_Uncertainty_Flags"/>
    <tableColumn id="103" xr3:uid="{00000000-0010-0000-0000-000067000000}" name="Citation_BibTeX"/>
    <tableColumn id="104" xr3:uid="{00000000-0010-0000-0000-000068000000}" name="APA_Reference"/>
    <tableColumn id="105" xr3:uid="{00000000-0010-0000-0000-000069000000}" name="Source_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EvidenceQuotesTable" displayName="EvidenceQuotesTable" ref="A1:O201">
  <tableColumns count="15">
    <tableColumn id="1" xr3:uid="{00000000-0010-0000-0100-000001000000}" name="Quote_ID"/>
    <tableColumn id="2" xr3:uid="{00000000-0010-0000-0100-000002000000}" name="Paper_ID"/>
    <tableColumn id="3" xr3:uid="{00000000-0010-0000-0100-000003000000}" name="Theme_Code"/>
    <tableColumn id="4" xr3:uid="{00000000-0010-0000-0100-000004000000}" name="Claim_Type"/>
    <tableColumn id="5" xr3:uid="{00000000-0010-0000-0100-000005000000}" name="Exact_Quote"/>
    <tableColumn id="6" xr3:uid="{00000000-0010-0000-0100-000006000000}" name="Page_Number"/>
    <tableColumn id="7" xr3:uid="{00000000-0010-0000-0100-000007000000}" name="PDF_Section"/>
    <tableColumn id="8" xr3:uid="{00000000-0010-0000-0100-000008000000}" name="Paraphrase"/>
    <tableColumn id="9" xr3:uid="{00000000-0010-0000-0100-000009000000}" name="Interpretation"/>
    <tableColumn id="10" xr3:uid="{00000000-0010-0000-0100-00000A000000}" name="How_It_Can_Be_Used_In_Review"/>
    <tableColumn id="11" xr3:uid="{00000000-0010-0000-0100-00000B000000}" name="Supports_or_Challenges"/>
    <tableColumn id="12" xr3:uid="{00000000-0010-0000-0100-00000C000000}" name="Related_Papers"/>
    <tableColumn id="13" xr3:uid="{00000000-0010-0000-0100-00000D000000}" name="Confidence_1_5"/>
    <tableColumn id="14" xr3:uid="{00000000-0010-0000-0100-00000E000000}" name="Needs_Human_Check"/>
    <tableColumn id="15" xr3:uid="{00000000-0010-0000-0100-00000F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QualityAppraisalTable" displayName="QualityAppraisalTable" ref="A1:S51">
  <tableColumns count="19">
    <tableColumn id="1" xr3:uid="{00000000-0010-0000-0200-000001000000}" name="Paper_ID"/>
    <tableColumn id="2" xr3:uid="{00000000-0010-0000-0200-000002000000}" name="Scoring_Status"/>
    <tableColumn id="3" xr3:uid="{00000000-0010-0000-0200-000003000000}" name="Q1_Aim_Clear_0_2"/>
    <tableColumn id="4" xr3:uid="{00000000-0010-0000-0200-000004000000}" name="Q2_Method_Fit_0_2"/>
    <tableColumn id="5" xr3:uid="{00000000-0010-0000-0200-000005000000}" name="Q3_Sample_Data_Adequate_0_2"/>
    <tableColumn id="6" xr3:uid="{00000000-0010-0000-0200-000006000000}" name="Q4_Context_Clear_0_2"/>
    <tableColumn id="7" xr3:uid="{00000000-0010-0000-0200-000007000000}" name="Q5_Analysis_Rigorous_0_2"/>
    <tableColumn id="8" xr3:uid="{00000000-0010-0000-0200-000008000000}" name="Q6_Validity_Reliability_0_2"/>
    <tableColumn id="9" xr3:uid="{00000000-0010-0000-0200-000009000000}" name="Q7_Evidence_Supports_Claims_0_2"/>
    <tableColumn id="10" xr3:uid="{00000000-0010-0000-0200-00000A000000}" name="Q8_Limitations_Discussed_0_2"/>
    <tableColumn id="11" xr3:uid="{00000000-0010-0000-0200-00000B000000}" name="Q9_Relevance_To_LCNC_0_2"/>
    <tableColumn id="12" xr3:uid="{00000000-0010-0000-0200-00000C000000}" name="Q10_Novelty_Contribution_0_2"/>
    <tableColumn id="13" xr3:uid="{00000000-0010-0000-0200-00000D000000}" name="Q11_Reproducibility_Transparency_0_2"/>
    <tableColumn id="14" xr3:uid="{00000000-0010-0000-0200-00000E000000}" name="Q12_Usefulness_For_Review_0_2"/>
    <tableColumn id="15" xr3:uid="{00000000-0010-0000-0200-00000F000000}" name="Total_Score_0_24"/>
    <tableColumn id="16" xr3:uid="{00000000-0010-0000-0200-000010000000}" name="Quality_Rating"/>
    <tableColumn id="17" xr3:uid="{00000000-0010-0000-0200-000011000000}" name="Quality_Notes"/>
    <tableColumn id="18" xr3:uid="{00000000-0010-0000-0200-000012000000}" name="Major_Risk_Of_Bias"/>
    <tableColumn id="19" xr3:uid="{00000000-0010-0000-0200-000013000000}" name="Review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hemeCodebookTable" displayName="ThemeCodebookTable" ref="A1:H23">
  <tableColumns count="8">
    <tableColumn id="1" xr3:uid="{00000000-0010-0000-0300-000001000000}" name="Theme_Code"/>
    <tableColumn id="2" xr3:uid="{00000000-0010-0000-0300-000002000000}" name="Theme_Name"/>
    <tableColumn id="3" xr3:uid="{00000000-0010-0000-0300-000003000000}" name="Definition"/>
    <tableColumn id="4" xr3:uid="{00000000-0010-0000-0300-000004000000}" name="Include_When"/>
    <tableColumn id="5" xr3:uid="{00000000-0010-0000-0300-000005000000}" name="Exclude_When"/>
    <tableColumn id="6" xr3:uid="{00000000-0010-0000-0300-000006000000}" name="Example_Signals"/>
    <tableColumn id="7" xr3:uid="{00000000-0010-0000-0300-000007000000}" name="Parent_Theme"/>
    <tableColumn id="8" xr3:uid="{00000000-0010-0000-0300-000008000000}" name="Likely_Review_Sec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SynthesisMatrixTable" displayName="SynthesisMatrixTable" ref="A1:O23">
  <tableColumns count="15">
    <tableColumn id="1" xr3:uid="{00000000-0010-0000-0400-000001000000}" name="Theme_Code"/>
    <tableColumn id="2" xr3:uid="{00000000-0010-0000-0400-000002000000}" name="Theme_Name"/>
    <tableColumn id="3" xr3:uid="{00000000-0010-0000-0400-000003000000}" name="Papers_Count"/>
    <tableColumn id="4" xr3:uid="{00000000-0010-0000-0400-000004000000}" name="Supporting_Papers"/>
    <tableColumn id="5" xr3:uid="{00000000-0010-0000-0400-000005000000}" name="Key_Pattern_Across_Papers"/>
    <tableColumn id="6" xr3:uid="{00000000-0010-0000-0400-000006000000}" name="Consensus_or_Agreement"/>
    <tableColumn id="7" xr3:uid="{00000000-0010-0000-0400-000007000000}" name="Contradictions_or_Debates"/>
    <tableColumn id="8" xr3:uid="{00000000-0010-0000-0400-000008000000}" name="Strongest_Evidence_Quotes"/>
    <tableColumn id="9" xr3:uid="{00000000-0010-0000-0400-000009000000}" name="Methodological_Notes"/>
    <tableColumn id="10" xr3:uid="{00000000-0010-0000-0400-00000A000000}" name="Maturity_of_Evidence"/>
    <tableColumn id="11" xr3:uid="{00000000-0010-0000-0400-00000B000000}" name="Research_Gaps"/>
    <tableColumn id="12" xr3:uid="{00000000-0010-0000-0400-00000C000000}" name="Implications"/>
    <tableColumn id="13" xr3:uid="{00000000-0010-0000-0400-00000D000000}" name="Possible_Review_Subsection_Title"/>
    <tableColumn id="14" xr3:uid="{00000000-0010-0000-0400-00000E000000}" name="Draft_Synthesis_Paragraph"/>
    <tableColumn id="15" xr3:uid="{00000000-0010-0000-0400-00000F000000}" name="Human_Reviewer_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MethodTaxonomyTable" displayName="MethodTaxonomyTable" ref="A1:E17">
  <tableColumns count="5">
    <tableColumn id="1" xr3:uid="{00000000-0010-0000-0500-000001000000}" name="Research_Method"/>
    <tableColumn id="2" xr3:uid="{00000000-0010-0000-0500-000002000000}" name="Paper_Count"/>
    <tableColumn id="3" xr3:uid="{00000000-0010-0000-0500-000003000000}" name="Included_Count"/>
    <tableColumn id="4" xr3:uid="{00000000-0010-0000-0500-000004000000}" name="Typical_Use_In_LCNC_Review"/>
    <tableColumn id="5" xr3:uid="{00000000-0010-0000-0500-000005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ControlledVocabTable" displayName="ControlledVocabTable" ref="A1:O23">
  <tableColumns count="15">
    <tableColumn id="1" xr3:uid="{00000000-0010-0000-0600-000001000000}" name="Extraction_Status"/>
    <tableColumn id="2" xr3:uid="{00000000-0010-0000-0600-000002000000}" name="Reviewer_Check_Status"/>
    <tableColumn id="3" xr3:uid="{00000000-0010-0000-0600-000003000000}" name="Inclusion_Decision"/>
    <tableColumn id="4" xr3:uid="{00000000-0010-0000-0600-000004000000}" name="LCNC_Focus_Level"/>
    <tableColumn id="5" xr3:uid="{00000000-0010-0000-0600-000005000000}" name="Publication_Type"/>
    <tableColumn id="6" xr3:uid="{00000000-0010-0000-0600-000006000000}" name="Paper_Category"/>
    <tableColumn id="7" xr3:uid="{00000000-0010-0000-0600-000007000000}" name="Research_Type"/>
    <tableColumn id="8" xr3:uid="{00000000-0010-0000-0600-000008000000}" name="Research_Method"/>
    <tableColumn id="9" xr3:uid="{00000000-0010-0000-0600-000009000000}" name="Data_Type"/>
    <tableColumn id="10" xr3:uid="{00000000-0010-0000-0600-00000A000000}" name="Theme_Code"/>
    <tableColumn id="11" xr3:uid="{00000000-0010-0000-0600-00000B000000}" name="Evidence_Strength"/>
    <tableColumn id="12" xr3:uid="{00000000-0010-0000-0600-00000C000000}" name="Use_In_Final_Review"/>
    <tableColumn id="13" xr3:uid="{00000000-0010-0000-0600-00000D000000}" name="Quality_Rating"/>
    <tableColumn id="14" xr3:uid="{00000000-0010-0000-0600-00000E000000}" name="Confidence_1_5"/>
    <tableColumn id="15" xr3:uid="{00000000-0010-0000-0600-00000F000000}" name="Quality_Score_0_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51"/>
  <sheetViews>
    <sheetView topLeftCell="CT1" workbookViewId="0">
      <selection activeCell="Q1" sqref="Q1"/>
    </sheetView>
  </sheetViews>
  <sheetFormatPr defaultRowHeight="13.8"/>
  <cols>
    <col min="1" max="1" width="15" customWidth="1"/>
    <col min="2" max="3" width="18" customWidth="1"/>
    <col min="4" max="4" width="15" customWidth="1"/>
    <col min="5" max="6" width="18" customWidth="1"/>
    <col min="7" max="7" width="15" customWidth="1"/>
    <col min="8" max="8" width="18" customWidth="1"/>
    <col min="9" max="9" width="15" customWidth="1"/>
    <col min="10" max="11" width="18" customWidth="1"/>
    <col min="12" max="12" width="38" customWidth="1"/>
    <col min="13" max="13" width="18" customWidth="1"/>
    <col min="14" max="14" width="15" customWidth="1"/>
    <col min="15" max="20" width="18" customWidth="1"/>
    <col min="21" max="21" width="38" customWidth="1"/>
    <col min="22" max="22" width="15" customWidth="1"/>
    <col min="23" max="23" width="18" customWidth="1"/>
    <col min="24" max="24" width="15" customWidth="1"/>
    <col min="25" max="29" width="18" customWidth="1"/>
    <col min="30" max="32" width="38" customWidth="1"/>
    <col min="33" max="33" width="18" customWidth="1"/>
    <col min="34" max="34" width="38" customWidth="1"/>
    <col min="35" max="47" width="18" customWidth="1"/>
    <col min="48" max="48" width="38" customWidth="1"/>
    <col min="49" max="58" width="18" customWidth="1"/>
    <col min="59" max="65" width="38" customWidth="1"/>
    <col min="66" max="70" width="18" customWidth="1"/>
    <col min="71" max="71" width="38" customWidth="1"/>
    <col min="72" max="72" width="18" customWidth="1"/>
    <col min="73" max="73" width="38" customWidth="1"/>
    <col min="74" max="74" width="15" customWidth="1"/>
    <col min="75" max="75" width="38" customWidth="1"/>
    <col min="76" max="76" width="15" customWidth="1"/>
    <col min="77" max="77" width="18" customWidth="1"/>
    <col min="78" max="78" width="38" customWidth="1"/>
    <col min="79" max="79" width="15" customWidth="1"/>
    <col min="80" max="80" width="18" customWidth="1"/>
    <col min="81" max="84" width="38" customWidth="1"/>
    <col min="85" max="87" width="18" customWidth="1"/>
    <col min="88" max="91" width="15" customWidth="1"/>
    <col min="92" max="93" width="18" customWidth="1"/>
    <col min="94" max="96" width="15" customWidth="1"/>
    <col min="97" max="97" width="18" customWidth="1"/>
    <col min="98" max="98" width="38" customWidth="1"/>
    <col min="99" max="100" width="18" customWidth="1"/>
    <col min="101" max="101" width="38" customWidth="1"/>
    <col min="102" max="103" width="18" customWidth="1"/>
    <col min="104" max="104" width="38" customWidth="1"/>
    <col min="105" max="105" width="18" customWidth="1"/>
  </cols>
  <sheetData>
    <row r="1" spans="1:102" ht="33.6"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row>
    <row r="2" spans="1:102" ht="28.8" customHeight="1">
      <c r="A2" s="5" t="s">
        <v>102</v>
      </c>
      <c r="B2" s="5" t="s">
        <v>103</v>
      </c>
      <c r="C2" s="5" t="s">
        <v>104</v>
      </c>
      <c r="D2" s="5" t="s">
        <v>105</v>
      </c>
      <c r="E2" s="5" t="s">
        <v>106</v>
      </c>
      <c r="F2" s="5" t="s">
        <v>2693</v>
      </c>
      <c r="G2" s="5" t="s">
        <v>2740</v>
      </c>
      <c r="H2" s="5">
        <v>4</v>
      </c>
      <c r="I2" s="5" t="s">
        <v>109</v>
      </c>
      <c r="J2" s="5" t="s">
        <v>108</v>
      </c>
      <c r="K2" s="5" t="s">
        <v>110</v>
      </c>
      <c r="L2" s="5" t="s">
        <v>111</v>
      </c>
      <c r="M2" s="5" t="s">
        <v>112</v>
      </c>
      <c r="N2" s="5" t="s">
        <v>113</v>
      </c>
      <c r="O2" s="5" t="s">
        <v>114</v>
      </c>
      <c r="P2" s="5" t="s">
        <v>108</v>
      </c>
      <c r="Q2" s="5" t="s">
        <v>115</v>
      </c>
      <c r="R2" s="5" t="s">
        <v>108</v>
      </c>
      <c r="S2" s="5" t="s">
        <v>116</v>
      </c>
      <c r="T2" s="5" t="s">
        <v>117</v>
      </c>
      <c r="U2" s="5">
        <v>5</v>
      </c>
      <c r="V2" s="5" t="s">
        <v>118</v>
      </c>
      <c r="W2" s="5" t="s">
        <v>110</v>
      </c>
      <c r="X2" s="5" t="s">
        <v>119</v>
      </c>
      <c r="Y2" s="5" t="s">
        <v>120</v>
      </c>
      <c r="Z2" s="5" t="s">
        <v>121</v>
      </c>
      <c r="AA2" s="5" t="s">
        <v>122</v>
      </c>
      <c r="AB2" s="5" t="s">
        <v>123</v>
      </c>
      <c r="AC2" s="5" t="s">
        <v>108</v>
      </c>
      <c r="AD2" s="5" t="s">
        <v>124</v>
      </c>
      <c r="AE2" s="5" t="s">
        <v>123</v>
      </c>
      <c r="AF2" s="5" t="s">
        <v>124</v>
      </c>
      <c r="AG2" s="5" t="s">
        <v>116</v>
      </c>
      <c r="AH2" s="5" t="s">
        <v>125</v>
      </c>
      <c r="AI2" s="5" t="s">
        <v>126</v>
      </c>
      <c r="AJ2" s="5" t="s">
        <v>127</v>
      </c>
      <c r="AK2" s="5" t="s">
        <v>127</v>
      </c>
      <c r="AL2" s="5" t="s">
        <v>128</v>
      </c>
      <c r="AM2" s="5" t="s">
        <v>129</v>
      </c>
      <c r="AN2" s="5" t="s">
        <v>130</v>
      </c>
      <c r="AO2" s="5" t="s">
        <v>130</v>
      </c>
      <c r="AP2" s="5" t="s">
        <v>131</v>
      </c>
      <c r="AQ2" s="5" t="s">
        <v>108</v>
      </c>
      <c r="AR2" s="5" t="s">
        <v>124</v>
      </c>
      <c r="AS2" s="5" t="s">
        <v>108</v>
      </c>
      <c r="AT2" s="5" t="s">
        <v>132</v>
      </c>
      <c r="AU2" s="5" t="s">
        <v>108</v>
      </c>
      <c r="AV2" s="5" t="s">
        <v>133</v>
      </c>
      <c r="AW2" s="5" t="s">
        <v>131</v>
      </c>
      <c r="AX2" s="5" t="s">
        <v>108</v>
      </c>
      <c r="AY2" s="5" t="s">
        <v>108</v>
      </c>
      <c r="AZ2" s="5" t="s">
        <v>132</v>
      </c>
      <c r="BA2" s="5" t="s">
        <v>134</v>
      </c>
      <c r="BB2" s="5" t="s">
        <v>135</v>
      </c>
      <c r="BC2" s="5" t="s">
        <v>136</v>
      </c>
      <c r="BD2" s="5" t="s">
        <v>137</v>
      </c>
      <c r="BE2" s="5" t="s">
        <v>138</v>
      </c>
      <c r="BF2" s="5" t="s">
        <v>139</v>
      </c>
      <c r="BG2" s="5" t="s">
        <v>108</v>
      </c>
      <c r="BH2" s="5" t="s">
        <v>140</v>
      </c>
      <c r="BI2" s="5" t="s">
        <v>141</v>
      </c>
      <c r="BJ2" s="5" t="s">
        <v>108</v>
      </c>
      <c r="BK2" s="5" t="s">
        <v>142</v>
      </c>
      <c r="BL2" s="5" t="s">
        <v>143</v>
      </c>
      <c r="BM2" s="5" t="s">
        <v>144</v>
      </c>
      <c r="BN2" s="5" t="s">
        <v>123</v>
      </c>
      <c r="BO2" s="5" t="s">
        <v>145</v>
      </c>
      <c r="BP2" s="5" t="s">
        <v>136</v>
      </c>
      <c r="BQ2" s="5" t="s">
        <v>137</v>
      </c>
      <c r="BR2" s="5" t="s">
        <v>123</v>
      </c>
      <c r="BS2" s="5">
        <v>1</v>
      </c>
      <c r="BT2" s="5" t="s">
        <v>142</v>
      </c>
      <c r="BU2" s="5">
        <v>5</v>
      </c>
      <c r="BV2" s="5" t="s">
        <v>108</v>
      </c>
      <c r="BW2" s="5" t="s">
        <v>134</v>
      </c>
      <c r="BX2" s="5" t="s">
        <v>146</v>
      </c>
      <c r="BY2" s="5" t="s">
        <v>147</v>
      </c>
      <c r="BZ2" s="5" t="s">
        <v>148</v>
      </c>
      <c r="CA2" s="5" t="s">
        <v>149</v>
      </c>
      <c r="CB2" s="5" t="s">
        <v>150</v>
      </c>
      <c r="CC2" s="5" t="s">
        <v>150</v>
      </c>
      <c r="CD2" s="5" t="s">
        <v>151</v>
      </c>
      <c r="CE2" s="5" t="s">
        <v>108</v>
      </c>
      <c r="CF2" s="5" t="s">
        <v>140</v>
      </c>
      <c r="CG2" s="5" t="s">
        <v>152</v>
      </c>
      <c r="CH2" s="5" t="s">
        <v>153</v>
      </c>
      <c r="CI2" s="5" t="s">
        <v>154</v>
      </c>
      <c r="CJ2" s="5" t="s">
        <v>155</v>
      </c>
      <c r="CK2" s="5" t="s">
        <v>127</v>
      </c>
      <c r="CL2" s="5" t="s">
        <v>108</v>
      </c>
      <c r="CM2" s="5">
        <f>IFERROR(VLOOKUP($A2,Quality_Appraisal!$A:$P,15,FALSE),"")</f>
        <v>23</v>
      </c>
      <c r="CN2" s="5" t="str">
        <f>IFERROR(VLOOKUP($A2,Quality_Appraisal!$A:$P,16,FALSE),"")</f>
        <v>Strong</v>
      </c>
      <c r="CO2" s="5" t="s">
        <v>156</v>
      </c>
      <c r="CP2" s="5" t="s">
        <v>157</v>
      </c>
      <c r="CQ2" s="5" t="s">
        <v>122</v>
      </c>
      <c r="CR2" s="5" t="s">
        <v>108</v>
      </c>
      <c r="CS2" s="5" t="s">
        <v>119</v>
      </c>
      <c r="CT2" s="5" t="s">
        <v>122</v>
      </c>
      <c r="CU2" s="5" t="s">
        <v>158</v>
      </c>
      <c r="CV2" s="5" t="s">
        <v>108</v>
      </c>
      <c r="CW2" s="5" t="s">
        <v>159</v>
      </c>
      <c r="CX2" s="5" t="s">
        <v>108</v>
      </c>
    </row>
    <row r="3" spans="1:102" ht="28.8" customHeight="1">
      <c r="A3" s="5" t="s">
        <v>160</v>
      </c>
      <c r="B3" s="5" t="s">
        <v>161</v>
      </c>
      <c r="C3" s="5" t="s">
        <v>162</v>
      </c>
      <c r="D3" s="5" t="s">
        <v>105</v>
      </c>
      <c r="E3" s="5" t="s">
        <v>106</v>
      </c>
      <c r="F3" s="5" t="s">
        <v>2693</v>
      </c>
      <c r="G3" s="5" t="s">
        <v>2740</v>
      </c>
      <c r="H3" s="5">
        <v>4</v>
      </c>
      <c r="I3" s="5" t="s">
        <v>109</v>
      </c>
      <c r="J3" s="5" t="s">
        <v>108</v>
      </c>
      <c r="K3" s="5" t="s">
        <v>163</v>
      </c>
      <c r="L3" s="5" t="s">
        <v>164</v>
      </c>
      <c r="M3" s="5" t="s">
        <v>112</v>
      </c>
      <c r="N3" s="5" t="s">
        <v>113</v>
      </c>
      <c r="O3" s="5" t="s">
        <v>165</v>
      </c>
      <c r="P3" s="5" t="s">
        <v>108</v>
      </c>
      <c r="Q3" s="5" t="s">
        <v>115</v>
      </c>
      <c r="R3" s="5" t="s">
        <v>166</v>
      </c>
      <c r="S3" s="5" t="s">
        <v>167</v>
      </c>
      <c r="T3" s="5" t="s">
        <v>117</v>
      </c>
      <c r="U3" s="5">
        <v>5</v>
      </c>
      <c r="V3" s="5" t="s">
        <v>118</v>
      </c>
      <c r="W3" s="5" t="s">
        <v>163</v>
      </c>
      <c r="X3" s="5" t="s">
        <v>168</v>
      </c>
      <c r="Y3" s="5" t="s">
        <v>169</v>
      </c>
      <c r="Z3" s="5" t="s">
        <v>121</v>
      </c>
      <c r="AA3" s="5" t="s">
        <v>170</v>
      </c>
      <c r="AB3" s="5" t="s">
        <v>171</v>
      </c>
      <c r="AC3" s="5" t="s">
        <v>172</v>
      </c>
      <c r="AD3" s="5" t="s">
        <v>173</v>
      </c>
      <c r="AE3" s="5" t="s">
        <v>174</v>
      </c>
      <c r="AF3" s="5" t="s">
        <v>166</v>
      </c>
      <c r="AG3" s="5" t="s">
        <v>167</v>
      </c>
      <c r="AH3" s="5" t="s">
        <v>175</v>
      </c>
      <c r="AI3" s="5" t="s">
        <v>176</v>
      </c>
      <c r="AJ3" s="5" t="s">
        <v>177</v>
      </c>
      <c r="AK3" s="5" t="s">
        <v>177</v>
      </c>
      <c r="AL3" s="5" t="s">
        <v>178</v>
      </c>
      <c r="AM3" s="5" t="s">
        <v>108</v>
      </c>
      <c r="AN3" s="5" t="s">
        <v>108</v>
      </c>
      <c r="AO3" s="5" t="s">
        <v>108</v>
      </c>
      <c r="AP3" s="5" t="s">
        <v>174</v>
      </c>
      <c r="AQ3" s="5" t="s">
        <v>179</v>
      </c>
      <c r="AR3" s="5" t="s">
        <v>179</v>
      </c>
      <c r="AS3" s="5" t="s">
        <v>108</v>
      </c>
      <c r="AT3" s="5" t="s">
        <v>180</v>
      </c>
      <c r="AU3" s="5" t="s">
        <v>108</v>
      </c>
      <c r="AV3" s="5" t="s">
        <v>181</v>
      </c>
      <c r="AW3" s="5" t="s">
        <v>174</v>
      </c>
      <c r="AX3" s="5" t="s">
        <v>108</v>
      </c>
      <c r="AY3" s="5" t="s">
        <v>108</v>
      </c>
      <c r="AZ3" s="5" t="s">
        <v>182</v>
      </c>
      <c r="BA3" s="5" t="s">
        <v>183</v>
      </c>
      <c r="BB3" s="5" t="s">
        <v>108</v>
      </c>
      <c r="BC3" s="5" t="s">
        <v>108</v>
      </c>
      <c r="BD3" s="5" t="s">
        <v>170</v>
      </c>
      <c r="BE3" s="5" t="s">
        <v>184</v>
      </c>
      <c r="BF3" s="5" t="s">
        <v>185</v>
      </c>
      <c r="BG3" s="5" t="s">
        <v>108</v>
      </c>
      <c r="BH3" s="5" t="s">
        <v>186</v>
      </c>
      <c r="BI3" s="5" t="s">
        <v>171</v>
      </c>
      <c r="BJ3" s="5" t="s">
        <v>187</v>
      </c>
      <c r="BK3" s="5" t="s">
        <v>108</v>
      </c>
      <c r="BL3" s="5" t="s">
        <v>108</v>
      </c>
      <c r="BM3" s="5" t="s">
        <v>108</v>
      </c>
      <c r="BN3" s="5" t="s">
        <v>188</v>
      </c>
      <c r="BO3" s="5" t="s">
        <v>108</v>
      </c>
      <c r="BP3" s="5" t="s">
        <v>189</v>
      </c>
      <c r="BQ3" s="5" t="s">
        <v>170</v>
      </c>
      <c r="BR3" s="5" t="s">
        <v>189</v>
      </c>
      <c r="BS3" s="5">
        <v>2</v>
      </c>
      <c r="BT3" s="5" t="s">
        <v>190</v>
      </c>
      <c r="BU3" s="5">
        <v>2</v>
      </c>
      <c r="BV3" s="5" t="s">
        <v>108</v>
      </c>
      <c r="BW3" s="5" t="s">
        <v>183</v>
      </c>
      <c r="BX3" s="5" t="s">
        <v>191</v>
      </c>
      <c r="BY3" s="5" t="s">
        <v>192</v>
      </c>
      <c r="BZ3" s="5" t="s">
        <v>108</v>
      </c>
      <c r="CA3" s="5" t="s">
        <v>193</v>
      </c>
      <c r="CB3" s="5" t="s">
        <v>108</v>
      </c>
      <c r="CC3" s="5" t="s">
        <v>108</v>
      </c>
      <c r="CD3" s="5" t="s">
        <v>108</v>
      </c>
      <c r="CE3" s="5" t="s">
        <v>108</v>
      </c>
      <c r="CF3" s="5" t="s">
        <v>186</v>
      </c>
      <c r="CG3" s="5" t="s">
        <v>194</v>
      </c>
      <c r="CH3" s="5" t="s">
        <v>152</v>
      </c>
      <c r="CI3" s="5" t="s">
        <v>195</v>
      </c>
      <c r="CJ3" s="5" t="s">
        <v>154</v>
      </c>
      <c r="CK3" s="5" t="s">
        <v>177</v>
      </c>
      <c r="CL3" s="5" t="s">
        <v>108</v>
      </c>
      <c r="CM3" s="5">
        <f>IFERROR(VLOOKUP($A3,Quality_Appraisal!$A:$P,15,FALSE),"")</f>
        <v>17</v>
      </c>
      <c r="CN3" s="5" t="str">
        <f>IFERROR(VLOOKUP($A3,Quality_Appraisal!$A:$P,16,FALSE),"")</f>
        <v>Moderate</v>
      </c>
      <c r="CO3" s="5" t="s">
        <v>156</v>
      </c>
      <c r="CP3" s="5" t="s">
        <v>196</v>
      </c>
      <c r="CQ3" s="5" t="s">
        <v>170</v>
      </c>
      <c r="CR3" s="5" t="s">
        <v>108</v>
      </c>
      <c r="CS3" s="5" t="s">
        <v>168</v>
      </c>
      <c r="CT3" s="5" t="s">
        <v>170</v>
      </c>
      <c r="CU3" s="5" t="s">
        <v>197</v>
      </c>
      <c r="CV3" s="5" t="s">
        <v>108</v>
      </c>
      <c r="CW3" s="5" t="s">
        <v>198</v>
      </c>
      <c r="CX3" s="5" t="s">
        <v>108</v>
      </c>
    </row>
    <row r="4" spans="1:102" ht="28.8" customHeight="1">
      <c r="A4" s="5" t="s">
        <v>199</v>
      </c>
      <c r="B4" s="5" t="s">
        <v>200</v>
      </c>
      <c r="C4" s="5" t="s">
        <v>201</v>
      </c>
      <c r="D4" s="5" t="s">
        <v>105</v>
      </c>
      <c r="E4" s="5" t="s">
        <v>106</v>
      </c>
      <c r="F4" s="5" t="s">
        <v>2693</v>
      </c>
      <c r="G4" s="5" t="s">
        <v>2740</v>
      </c>
      <c r="H4" s="5">
        <v>4</v>
      </c>
      <c r="I4" s="5" t="s">
        <v>109</v>
      </c>
      <c r="J4" s="5" t="s">
        <v>202</v>
      </c>
      <c r="K4" s="5" t="s">
        <v>203</v>
      </c>
      <c r="L4" s="5" t="s">
        <v>204</v>
      </c>
      <c r="M4" s="5" t="s">
        <v>205</v>
      </c>
      <c r="N4" s="5" t="s">
        <v>206</v>
      </c>
      <c r="O4" s="5" t="s">
        <v>207</v>
      </c>
      <c r="P4" s="5" t="s">
        <v>208</v>
      </c>
      <c r="Q4" s="5" t="s">
        <v>115</v>
      </c>
      <c r="R4" s="5" t="s">
        <v>209</v>
      </c>
      <c r="S4" s="5" t="s">
        <v>210</v>
      </c>
      <c r="T4" s="5" t="s">
        <v>117</v>
      </c>
      <c r="U4" s="5">
        <v>5</v>
      </c>
      <c r="V4" s="5" t="s">
        <v>118</v>
      </c>
      <c r="W4" s="5" t="s">
        <v>203</v>
      </c>
      <c r="X4" s="5" t="s">
        <v>119</v>
      </c>
      <c r="Y4" s="5" t="s">
        <v>211</v>
      </c>
      <c r="Z4" s="5" t="s">
        <v>121</v>
      </c>
      <c r="AA4" s="5" t="s">
        <v>212</v>
      </c>
      <c r="AB4" s="5" t="s">
        <v>213</v>
      </c>
      <c r="AC4" s="5" t="s">
        <v>214</v>
      </c>
      <c r="AD4" s="5" t="s">
        <v>215</v>
      </c>
      <c r="AE4" s="5" t="s">
        <v>216</v>
      </c>
      <c r="AF4" s="5" t="s">
        <v>209</v>
      </c>
      <c r="AG4" s="5" t="s">
        <v>210</v>
      </c>
      <c r="AH4" s="5" t="s">
        <v>217</v>
      </c>
      <c r="AI4" s="5" t="s">
        <v>218</v>
      </c>
      <c r="AJ4" s="5" t="s">
        <v>219</v>
      </c>
      <c r="AK4" s="5" t="s">
        <v>219</v>
      </c>
      <c r="AL4" s="5" t="s">
        <v>178</v>
      </c>
      <c r="AM4" s="5" t="s">
        <v>220</v>
      </c>
      <c r="AN4" s="5" t="s">
        <v>221</v>
      </c>
      <c r="AO4" s="5" t="s">
        <v>221</v>
      </c>
      <c r="AP4" s="5" t="s">
        <v>222</v>
      </c>
      <c r="AQ4" s="5" t="s">
        <v>223</v>
      </c>
      <c r="AR4" s="5" t="s">
        <v>223</v>
      </c>
      <c r="AS4" s="5" t="s">
        <v>224</v>
      </c>
      <c r="AT4" s="5" t="s">
        <v>225</v>
      </c>
      <c r="AU4" s="5" t="s">
        <v>226</v>
      </c>
      <c r="AV4" s="5" t="s">
        <v>227</v>
      </c>
      <c r="AW4" s="5" t="s">
        <v>222</v>
      </c>
      <c r="AX4" s="5" t="s">
        <v>228</v>
      </c>
      <c r="AY4" s="5" t="s">
        <v>108</v>
      </c>
      <c r="AZ4" s="5" t="s">
        <v>229</v>
      </c>
      <c r="BA4" s="5" t="s">
        <v>230</v>
      </c>
      <c r="BB4" s="5" t="s">
        <v>231</v>
      </c>
      <c r="BC4" s="5" t="s">
        <v>232</v>
      </c>
      <c r="BD4" s="5" t="s">
        <v>233</v>
      </c>
      <c r="BE4" s="5" t="s">
        <v>234</v>
      </c>
      <c r="BF4" s="5" t="s">
        <v>235</v>
      </c>
      <c r="BG4" s="5" t="s">
        <v>108</v>
      </c>
      <c r="BH4" s="5" t="s">
        <v>236</v>
      </c>
      <c r="BI4" s="5" t="s">
        <v>237</v>
      </c>
      <c r="BJ4" s="5" t="s">
        <v>238</v>
      </c>
      <c r="BK4" s="5" t="s">
        <v>239</v>
      </c>
      <c r="BL4" s="5" t="s">
        <v>240</v>
      </c>
      <c r="BM4" s="5" t="s">
        <v>241</v>
      </c>
      <c r="BN4" s="5" t="s">
        <v>242</v>
      </c>
      <c r="BO4" s="5" t="s">
        <v>243</v>
      </c>
      <c r="BP4" s="5" t="s">
        <v>244</v>
      </c>
      <c r="BQ4" s="5" t="s">
        <v>233</v>
      </c>
      <c r="BR4" s="5" t="s">
        <v>242</v>
      </c>
      <c r="BS4" s="5">
        <v>1</v>
      </c>
      <c r="BT4" s="5" t="s">
        <v>245</v>
      </c>
      <c r="BU4" s="5">
        <v>7</v>
      </c>
      <c r="BV4" s="5" t="s">
        <v>108</v>
      </c>
      <c r="BW4" s="5" t="s">
        <v>230</v>
      </c>
      <c r="BX4" s="5" t="s">
        <v>146</v>
      </c>
      <c r="BY4" s="5" t="s">
        <v>246</v>
      </c>
      <c r="BZ4" s="5" t="s">
        <v>247</v>
      </c>
      <c r="CA4" s="5" t="s">
        <v>248</v>
      </c>
      <c r="CB4" s="5" t="s">
        <v>249</v>
      </c>
      <c r="CC4" s="5" t="s">
        <v>249</v>
      </c>
      <c r="CD4" s="5" t="s">
        <v>250</v>
      </c>
      <c r="CE4" s="5" t="s">
        <v>108</v>
      </c>
      <c r="CF4" s="5" t="s">
        <v>236</v>
      </c>
      <c r="CG4" s="5" t="s">
        <v>152</v>
      </c>
      <c r="CH4" s="5" t="s">
        <v>154</v>
      </c>
      <c r="CI4" s="5" t="s">
        <v>251</v>
      </c>
      <c r="CJ4" s="5" t="s">
        <v>252</v>
      </c>
      <c r="CK4" s="5" t="s">
        <v>219</v>
      </c>
      <c r="CL4" s="5" t="s">
        <v>108</v>
      </c>
      <c r="CM4" s="5">
        <f>IFERROR(VLOOKUP($A4,Quality_Appraisal!$A:$P,15,FALSE),"")</f>
        <v>24</v>
      </c>
      <c r="CN4" s="5" t="str">
        <f>IFERROR(VLOOKUP($A4,Quality_Appraisal!$A:$P,16,FALSE),"")</f>
        <v>Strong</v>
      </c>
      <c r="CO4" s="5" t="s">
        <v>156</v>
      </c>
      <c r="CP4" s="5" t="s">
        <v>157</v>
      </c>
      <c r="CQ4" s="5" t="s">
        <v>212</v>
      </c>
      <c r="CR4" s="5" t="s">
        <v>108</v>
      </c>
      <c r="CS4" s="5" t="s">
        <v>119</v>
      </c>
      <c r="CT4" s="5" t="s">
        <v>212</v>
      </c>
      <c r="CU4" s="5" t="s">
        <v>253</v>
      </c>
      <c r="CV4" s="5" t="s">
        <v>108</v>
      </c>
      <c r="CW4" s="5" t="s">
        <v>254</v>
      </c>
      <c r="CX4" s="5" t="s">
        <v>255</v>
      </c>
    </row>
    <row r="5" spans="1:102" ht="28.8" customHeight="1">
      <c r="A5" s="5" t="s">
        <v>256</v>
      </c>
      <c r="B5" s="5" t="s">
        <v>257</v>
      </c>
      <c r="C5" s="5" t="s">
        <v>258</v>
      </c>
      <c r="D5" s="5" t="s">
        <v>105</v>
      </c>
      <c r="E5" s="5" t="s">
        <v>106</v>
      </c>
      <c r="F5" s="5" t="s">
        <v>2693</v>
      </c>
      <c r="G5" s="5" t="s">
        <v>2740</v>
      </c>
      <c r="H5" s="5">
        <v>4</v>
      </c>
      <c r="I5" s="5" t="s">
        <v>109</v>
      </c>
      <c r="J5" s="5" t="s">
        <v>259</v>
      </c>
      <c r="K5" s="5" t="s">
        <v>260</v>
      </c>
      <c r="L5" s="5" t="s">
        <v>261</v>
      </c>
      <c r="M5" s="5" t="s">
        <v>112</v>
      </c>
      <c r="N5" s="5" t="s">
        <v>113</v>
      </c>
      <c r="O5" s="5" t="s">
        <v>262</v>
      </c>
      <c r="P5" s="5" t="s">
        <v>263</v>
      </c>
      <c r="Q5" s="5" t="s">
        <v>115</v>
      </c>
      <c r="R5" s="5" t="s">
        <v>264</v>
      </c>
      <c r="S5" s="5" t="s">
        <v>265</v>
      </c>
      <c r="T5" s="5" t="s">
        <v>117</v>
      </c>
      <c r="U5" s="5">
        <v>5</v>
      </c>
      <c r="V5" s="5" t="s">
        <v>118</v>
      </c>
      <c r="W5" s="5" t="s">
        <v>260</v>
      </c>
      <c r="X5" s="5" t="s">
        <v>119</v>
      </c>
      <c r="Y5" s="5" t="s">
        <v>266</v>
      </c>
      <c r="Z5" s="5" t="s">
        <v>121</v>
      </c>
      <c r="AA5" s="5" t="s">
        <v>267</v>
      </c>
      <c r="AB5" s="5" t="s">
        <v>268</v>
      </c>
      <c r="AC5" s="5" t="s">
        <v>269</v>
      </c>
      <c r="AD5" s="5" t="s">
        <v>270</v>
      </c>
      <c r="AE5" s="5" t="s">
        <v>108</v>
      </c>
      <c r="AF5" s="5" t="s">
        <v>264</v>
      </c>
      <c r="AG5" s="5" t="s">
        <v>265</v>
      </c>
      <c r="AH5" s="5" t="s">
        <v>125</v>
      </c>
      <c r="AI5" s="5" t="s">
        <v>126</v>
      </c>
      <c r="AJ5" s="5" t="s">
        <v>271</v>
      </c>
      <c r="AK5" s="5" t="s">
        <v>271</v>
      </c>
      <c r="AL5" s="5" t="s">
        <v>128</v>
      </c>
      <c r="AM5" s="5" t="s">
        <v>129</v>
      </c>
      <c r="AN5" s="5" t="s">
        <v>272</v>
      </c>
      <c r="AO5" s="5" t="s">
        <v>272</v>
      </c>
      <c r="AP5" s="5" t="s">
        <v>273</v>
      </c>
      <c r="AQ5" s="5" t="s">
        <v>274</v>
      </c>
      <c r="AR5" s="5" t="s">
        <v>274</v>
      </c>
      <c r="AS5" s="5" t="s">
        <v>108</v>
      </c>
      <c r="AT5" s="5" t="s">
        <v>275</v>
      </c>
      <c r="AU5" s="5" t="s">
        <v>276</v>
      </c>
      <c r="AV5" s="5" t="s">
        <v>277</v>
      </c>
      <c r="AW5" s="5" t="s">
        <v>273</v>
      </c>
      <c r="AX5" s="5" t="s">
        <v>108</v>
      </c>
      <c r="AY5" s="5" t="s">
        <v>108</v>
      </c>
      <c r="AZ5" s="5" t="s">
        <v>278</v>
      </c>
      <c r="BA5" s="5" t="s">
        <v>279</v>
      </c>
      <c r="BB5" s="5" t="s">
        <v>280</v>
      </c>
      <c r="BC5" s="5" t="s">
        <v>281</v>
      </c>
      <c r="BD5" s="5" t="s">
        <v>282</v>
      </c>
      <c r="BE5" s="5" t="s">
        <v>283</v>
      </c>
      <c r="BF5" s="5" t="s">
        <v>284</v>
      </c>
      <c r="BG5" s="5" t="s">
        <v>108</v>
      </c>
      <c r="BH5" s="5" t="s">
        <v>285</v>
      </c>
      <c r="BI5" s="5" t="s">
        <v>286</v>
      </c>
      <c r="BJ5" s="5" t="s">
        <v>287</v>
      </c>
      <c r="BK5" s="5" t="s">
        <v>281</v>
      </c>
      <c r="BL5" s="5" t="s">
        <v>288</v>
      </c>
      <c r="BM5" s="5" t="s">
        <v>289</v>
      </c>
      <c r="BN5" s="5" t="s">
        <v>290</v>
      </c>
      <c r="BO5" s="5" t="s">
        <v>291</v>
      </c>
      <c r="BP5" s="5" t="s">
        <v>290</v>
      </c>
      <c r="BQ5" s="5" t="s">
        <v>282</v>
      </c>
      <c r="BR5" s="5" t="s">
        <v>292</v>
      </c>
      <c r="BS5" s="5">
        <v>2</v>
      </c>
      <c r="BT5" s="5" t="s">
        <v>293</v>
      </c>
      <c r="BU5" s="5">
        <v>5</v>
      </c>
      <c r="BV5" s="5" t="s">
        <v>108</v>
      </c>
      <c r="BW5" s="5" t="s">
        <v>279</v>
      </c>
      <c r="BX5" s="5" t="s">
        <v>191</v>
      </c>
      <c r="BY5" s="5" t="s">
        <v>294</v>
      </c>
      <c r="BZ5" s="5" t="s">
        <v>295</v>
      </c>
      <c r="CA5" s="5" t="s">
        <v>248</v>
      </c>
      <c r="CB5" s="5" t="s">
        <v>296</v>
      </c>
      <c r="CC5" s="5" t="s">
        <v>296</v>
      </c>
      <c r="CD5" s="5" t="s">
        <v>297</v>
      </c>
      <c r="CE5" s="5" t="s">
        <v>108</v>
      </c>
      <c r="CF5" s="5" t="s">
        <v>285</v>
      </c>
      <c r="CG5" s="5" t="s">
        <v>152</v>
      </c>
      <c r="CH5" s="5" t="s">
        <v>154</v>
      </c>
      <c r="CI5" s="5" t="s">
        <v>153</v>
      </c>
      <c r="CJ5" s="5" t="s">
        <v>252</v>
      </c>
      <c r="CK5" s="5" t="s">
        <v>271</v>
      </c>
      <c r="CL5" s="5" t="s">
        <v>108</v>
      </c>
      <c r="CM5" s="5">
        <f>IFERROR(VLOOKUP($A5,Quality_Appraisal!$A:$P,15,FALSE),"")</f>
        <v>24</v>
      </c>
      <c r="CN5" s="5" t="str">
        <f>IFERROR(VLOOKUP($A5,Quality_Appraisal!$A:$P,16,FALSE),"")</f>
        <v>Strong</v>
      </c>
      <c r="CO5" s="5" t="s">
        <v>156</v>
      </c>
      <c r="CP5" s="5" t="s">
        <v>157</v>
      </c>
      <c r="CQ5" s="5" t="s">
        <v>267</v>
      </c>
      <c r="CR5" s="5" t="s">
        <v>108</v>
      </c>
      <c r="CS5" s="5" t="s">
        <v>119</v>
      </c>
      <c r="CT5" s="5" t="s">
        <v>267</v>
      </c>
      <c r="CU5" s="5" t="s">
        <v>253</v>
      </c>
      <c r="CV5" s="5" t="s">
        <v>108</v>
      </c>
      <c r="CW5" s="5" t="s">
        <v>298</v>
      </c>
      <c r="CX5" s="5" t="s">
        <v>299</v>
      </c>
    </row>
    <row r="6" spans="1:102" ht="28.8" customHeight="1">
      <c r="A6" s="5" t="s">
        <v>300</v>
      </c>
      <c r="B6" s="5" t="s">
        <v>301</v>
      </c>
      <c r="C6" s="5" t="s">
        <v>302</v>
      </c>
      <c r="D6" s="5" t="s">
        <v>105</v>
      </c>
      <c r="E6" s="5" t="s">
        <v>106</v>
      </c>
      <c r="F6" s="5" t="s">
        <v>2693</v>
      </c>
      <c r="G6" s="5" t="s">
        <v>2740</v>
      </c>
      <c r="H6" s="5">
        <v>4</v>
      </c>
      <c r="I6" s="5" t="s">
        <v>109</v>
      </c>
      <c r="J6" s="5" t="s">
        <v>108</v>
      </c>
      <c r="K6" s="5" t="s">
        <v>303</v>
      </c>
      <c r="L6" s="5" t="s">
        <v>304</v>
      </c>
      <c r="M6" s="5" t="s">
        <v>112</v>
      </c>
      <c r="N6" s="5" t="s">
        <v>113</v>
      </c>
      <c r="O6" s="5" t="s">
        <v>305</v>
      </c>
      <c r="P6" s="5" t="s">
        <v>108</v>
      </c>
      <c r="Q6" s="5" t="s">
        <v>115</v>
      </c>
      <c r="R6" s="5" t="s">
        <v>306</v>
      </c>
      <c r="S6" s="5" t="s">
        <v>307</v>
      </c>
      <c r="T6" s="5" t="s">
        <v>117</v>
      </c>
      <c r="U6" s="5">
        <v>5</v>
      </c>
      <c r="V6" s="5" t="s">
        <v>118</v>
      </c>
      <c r="W6" s="5" t="s">
        <v>303</v>
      </c>
      <c r="X6" s="5" t="s">
        <v>119</v>
      </c>
      <c r="Y6" s="5" t="s">
        <v>308</v>
      </c>
      <c r="Z6" s="5" t="s">
        <v>121</v>
      </c>
      <c r="AA6" s="5" t="s">
        <v>309</v>
      </c>
      <c r="AB6" s="5" t="s">
        <v>310</v>
      </c>
      <c r="AC6" s="5" t="s">
        <v>311</v>
      </c>
      <c r="AD6" s="5" t="s">
        <v>312</v>
      </c>
      <c r="AE6" s="5" t="s">
        <v>313</v>
      </c>
      <c r="AF6" s="5" t="s">
        <v>306</v>
      </c>
      <c r="AG6" s="5" t="s">
        <v>307</v>
      </c>
      <c r="AH6" s="5" t="s">
        <v>125</v>
      </c>
      <c r="AI6" s="5" t="s">
        <v>126</v>
      </c>
      <c r="AJ6" s="5" t="s">
        <v>314</v>
      </c>
      <c r="AK6" s="5" t="s">
        <v>108</v>
      </c>
      <c r="AL6" s="5" t="s">
        <v>315</v>
      </c>
      <c r="AM6" s="5" t="s">
        <v>108</v>
      </c>
      <c r="AN6" s="5" t="s">
        <v>272</v>
      </c>
      <c r="AO6" s="5" t="s">
        <v>272</v>
      </c>
      <c r="AP6" s="5" t="s">
        <v>316</v>
      </c>
      <c r="AQ6" s="5" t="s">
        <v>274</v>
      </c>
      <c r="AR6" s="5" t="s">
        <v>274</v>
      </c>
      <c r="AS6" s="5" t="s">
        <v>317</v>
      </c>
      <c r="AT6" s="5" t="s">
        <v>310</v>
      </c>
      <c r="AU6" s="5" t="s">
        <v>108</v>
      </c>
      <c r="AV6" s="5" t="s">
        <v>318</v>
      </c>
      <c r="AW6" s="5" t="s">
        <v>316</v>
      </c>
      <c r="AX6" s="5" t="s">
        <v>108</v>
      </c>
      <c r="AY6" s="5" t="s">
        <v>108</v>
      </c>
      <c r="AZ6" s="5" t="s">
        <v>319</v>
      </c>
      <c r="BA6" s="5" t="s">
        <v>320</v>
      </c>
      <c r="BB6" s="5" t="s">
        <v>321</v>
      </c>
      <c r="BC6" s="5" t="s">
        <v>322</v>
      </c>
      <c r="BD6" s="5" t="s">
        <v>323</v>
      </c>
      <c r="BE6" s="5" t="s">
        <v>324</v>
      </c>
      <c r="BF6" s="5" t="s">
        <v>325</v>
      </c>
      <c r="BG6" s="5" t="s">
        <v>326</v>
      </c>
      <c r="BH6" s="5" t="s">
        <v>327</v>
      </c>
      <c r="BI6" s="5" t="s">
        <v>328</v>
      </c>
      <c r="BJ6" s="5" t="s">
        <v>329</v>
      </c>
      <c r="BK6" s="5" t="s">
        <v>322</v>
      </c>
      <c r="BL6" s="5" t="s">
        <v>319</v>
      </c>
      <c r="BM6" s="5" t="s">
        <v>330</v>
      </c>
      <c r="BN6" s="5" t="s">
        <v>331</v>
      </c>
      <c r="BO6" s="5" t="s">
        <v>332</v>
      </c>
      <c r="BP6" s="5" t="s">
        <v>333</v>
      </c>
      <c r="BQ6" s="5" t="s">
        <v>323</v>
      </c>
      <c r="BR6" s="5" t="s">
        <v>331</v>
      </c>
      <c r="BS6" s="5">
        <v>2</v>
      </c>
      <c r="BT6" s="5" t="s">
        <v>334</v>
      </c>
      <c r="BU6" s="5">
        <v>1</v>
      </c>
      <c r="BV6" s="5" t="s">
        <v>108</v>
      </c>
      <c r="BW6" s="5" t="s">
        <v>320</v>
      </c>
      <c r="BX6" s="5" t="s">
        <v>191</v>
      </c>
      <c r="BY6" s="5" t="s">
        <v>335</v>
      </c>
      <c r="BZ6" s="5" t="s">
        <v>336</v>
      </c>
      <c r="CA6" s="5" t="s">
        <v>337</v>
      </c>
      <c r="CB6" s="5" t="s">
        <v>338</v>
      </c>
      <c r="CC6" s="5" t="s">
        <v>338</v>
      </c>
      <c r="CD6" s="5" t="s">
        <v>339</v>
      </c>
      <c r="CE6" s="5" t="s">
        <v>108</v>
      </c>
      <c r="CF6" s="5" t="s">
        <v>327</v>
      </c>
      <c r="CG6" s="5" t="s">
        <v>152</v>
      </c>
      <c r="CH6" s="5" t="s">
        <v>154</v>
      </c>
      <c r="CI6" s="5" t="s">
        <v>340</v>
      </c>
      <c r="CJ6" s="5" t="s">
        <v>155</v>
      </c>
      <c r="CK6" s="5" t="s">
        <v>108</v>
      </c>
      <c r="CL6" s="5" t="s">
        <v>108</v>
      </c>
      <c r="CM6" s="5">
        <f>IFERROR(VLOOKUP($A6,Quality_Appraisal!$A:$P,15,FALSE),"")</f>
        <v>20</v>
      </c>
      <c r="CN6" s="5" t="str">
        <f>IFERROR(VLOOKUP($A6,Quality_Appraisal!$A:$P,16,FALSE),"")</f>
        <v>Strong</v>
      </c>
      <c r="CO6" s="5" t="s">
        <v>156</v>
      </c>
      <c r="CP6" s="5" t="s">
        <v>157</v>
      </c>
      <c r="CQ6" s="5" t="s">
        <v>309</v>
      </c>
      <c r="CR6" s="5" t="s">
        <v>108</v>
      </c>
      <c r="CS6" s="5" t="s">
        <v>119</v>
      </c>
      <c r="CT6" s="5" t="s">
        <v>309</v>
      </c>
      <c r="CU6" s="5" t="s">
        <v>158</v>
      </c>
      <c r="CV6" s="5" t="s">
        <v>108</v>
      </c>
      <c r="CW6" s="5" t="s">
        <v>341</v>
      </c>
      <c r="CX6" s="5" t="s">
        <v>108</v>
      </c>
    </row>
    <row r="7" spans="1:102" ht="28.8" customHeight="1">
      <c r="A7" s="5" t="s">
        <v>342</v>
      </c>
      <c r="B7" s="5" t="s">
        <v>343</v>
      </c>
      <c r="C7" s="5" t="s">
        <v>344</v>
      </c>
      <c r="D7" s="5" t="s">
        <v>105</v>
      </c>
      <c r="E7" s="5" t="s">
        <v>106</v>
      </c>
      <c r="F7" s="5" t="s">
        <v>2693</v>
      </c>
      <c r="G7" s="5" t="s">
        <v>2740</v>
      </c>
      <c r="H7" s="5">
        <v>4</v>
      </c>
      <c r="I7" s="5" t="s">
        <v>109</v>
      </c>
      <c r="J7" s="5" t="s">
        <v>108</v>
      </c>
      <c r="K7" s="5" t="s">
        <v>345</v>
      </c>
      <c r="L7" s="5" t="s">
        <v>346</v>
      </c>
      <c r="M7" s="5" t="s">
        <v>347</v>
      </c>
      <c r="N7" s="5" t="s">
        <v>113</v>
      </c>
      <c r="O7" s="5" t="s">
        <v>348</v>
      </c>
      <c r="P7" s="5" t="s">
        <v>349</v>
      </c>
      <c r="Q7" s="5" t="s">
        <v>115</v>
      </c>
      <c r="R7" s="5" t="s">
        <v>350</v>
      </c>
      <c r="S7" s="5" t="s">
        <v>351</v>
      </c>
      <c r="T7" s="5" t="s">
        <v>352</v>
      </c>
      <c r="U7" s="5">
        <v>1</v>
      </c>
      <c r="V7" s="5" t="s">
        <v>353</v>
      </c>
      <c r="W7" s="5" t="s">
        <v>345</v>
      </c>
      <c r="X7" s="5" t="s">
        <v>119</v>
      </c>
      <c r="Y7" s="5" t="s">
        <v>354</v>
      </c>
      <c r="Z7" s="5" t="s">
        <v>121</v>
      </c>
      <c r="AA7" s="5" t="s">
        <v>355</v>
      </c>
      <c r="AB7" s="5" t="s">
        <v>108</v>
      </c>
      <c r="AC7" s="5" t="s">
        <v>108</v>
      </c>
      <c r="AD7" s="5" t="s">
        <v>108</v>
      </c>
      <c r="AE7" s="5" t="s">
        <v>356</v>
      </c>
      <c r="AF7" s="5" t="s">
        <v>350</v>
      </c>
      <c r="AG7" s="5" t="s">
        <v>351</v>
      </c>
      <c r="AH7" s="5" t="s">
        <v>175</v>
      </c>
      <c r="AI7" s="5" t="s">
        <v>357</v>
      </c>
      <c r="AJ7" s="5" t="s">
        <v>358</v>
      </c>
      <c r="AK7" s="5" t="s">
        <v>358</v>
      </c>
      <c r="AL7" s="5" t="s">
        <v>128</v>
      </c>
      <c r="AM7" s="5" t="s">
        <v>359</v>
      </c>
      <c r="AN7" s="5" t="s">
        <v>360</v>
      </c>
      <c r="AO7" s="5" t="s">
        <v>360</v>
      </c>
      <c r="AP7" s="5" t="s">
        <v>361</v>
      </c>
      <c r="AQ7" s="5" t="s">
        <v>362</v>
      </c>
      <c r="AR7" s="5" t="s">
        <v>362</v>
      </c>
      <c r="AS7" s="5" t="s">
        <v>108</v>
      </c>
      <c r="AT7" s="5" t="s">
        <v>363</v>
      </c>
      <c r="AU7" s="5" t="s">
        <v>108</v>
      </c>
      <c r="AV7" s="5" t="s">
        <v>364</v>
      </c>
      <c r="AW7" s="5" t="s">
        <v>361</v>
      </c>
      <c r="AX7" s="5" t="s">
        <v>108</v>
      </c>
      <c r="AY7" s="5" t="s">
        <v>108</v>
      </c>
      <c r="AZ7" s="5" t="s">
        <v>365</v>
      </c>
      <c r="BA7" s="5" t="s">
        <v>366</v>
      </c>
      <c r="BB7" s="5" t="s">
        <v>367</v>
      </c>
      <c r="BC7" s="5" t="s">
        <v>368</v>
      </c>
      <c r="BD7" s="5" t="s">
        <v>369</v>
      </c>
      <c r="BE7" s="5" t="s">
        <v>370</v>
      </c>
      <c r="BF7" s="5" t="s">
        <v>371</v>
      </c>
      <c r="BG7" s="5" t="s">
        <v>372</v>
      </c>
      <c r="BH7" s="5" t="s">
        <v>373</v>
      </c>
      <c r="BI7" s="5" t="s">
        <v>374</v>
      </c>
      <c r="BJ7" s="5" t="s">
        <v>108</v>
      </c>
      <c r="BK7" s="5" t="s">
        <v>375</v>
      </c>
      <c r="BL7" s="5" t="s">
        <v>376</v>
      </c>
      <c r="BM7" s="5" t="s">
        <v>377</v>
      </c>
      <c r="BN7" s="5" t="s">
        <v>378</v>
      </c>
      <c r="BO7" s="5" t="s">
        <v>379</v>
      </c>
      <c r="BP7" s="5" t="s">
        <v>380</v>
      </c>
      <c r="BQ7" s="5" t="s">
        <v>369</v>
      </c>
      <c r="BR7" s="5" t="s">
        <v>381</v>
      </c>
      <c r="BS7" s="5">
        <v>1</v>
      </c>
      <c r="BT7" s="5" t="s">
        <v>382</v>
      </c>
      <c r="BU7" s="5">
        <v>1</v>
      </c>
      <c r="BV7" s="5" t="s">
        <v>108</v>
      </c>
      <c r="BW7" s="5" t="s">
        <v>366</v>
      </c>
      <c r="BX7" s="5" t="s">
        <v>191</v>
      </c>
      <c r="BY7" s="5" t="s">
        <v>383</v>
      </c>
      <c r="BZ7" s="5" t="s">
        <v>384</v>
      </c>
      <c r="CA7" s="5" t="s">
        <v>149</v>
      </c>
      <c r="CB7" s="5" t="s">
        <v>385</v>
      </c>
      <c r="CC7" s="5" t="s">
        <v>385</v>
      </c>
      <c r="CD7" s="5" t="s">
        <v>373</v>
      </c>
      <c r="CE7" s="5" t="s">
        <v>108</v>
      </c>
      <c r="CF7" s="5" t="s">
        <v>373</v>
      </c>
      <c r="CG7" s="5" t="s">
        <v>152</v>
      </c>
      <c r="CH7" s="5" t="s">
        <v>155</v>
      </c>
      <c r="CI7" s="5" t="s">
        <v>386</v>
      </c>
      <c r="CJ7" s="5" t="s">
        <v>340</v>
      </c>
      <c r="CK7" s="5" t="s">
        <v>358</v>
      </c>
      <c r="CL7" s="5" t="s">
        <v>108</v>
      </c>
      <c r="CM7" s="5">
        <f>IFERROR(VLOOKUP($A7,Quality_Appraisal!$A:$P,15,FALSE),"")</f>
        <v>18</v>
      </c>
      <c r="CN7" s="5" t="str">
        <f>IFERROR(VLOOKUP($A7,Quality_Appraisal!$A:$P,16,FALSE),"")</f>
        <v>Moderate</v>
      </c>
      <c r="CO7" s="5" t="s">
        <v>352</v>
      </c>
      <c r="CP7" s="5" t="s">
        <v>157</v>
      </c>
      <c r="CQ7" s="5" t="s">
        <v>355</v>
      </c>
      <c r="CR7" s="5" t="s">
        <v>108</v>
      </c>
      <c r="CS7" s="5" t="s">
        <v>119</v>
      </c>
      <c r="CT7" s="5" t="s">
        <v>355</v>
      </c>
      <c r="CU7" s="5" t="s">
        <v>158</v>
      </c>
      <c r="CV7" s="5" t="s">
        <v>108</v>
      </c>
      <c r="CW7" s="5" t="s">
        <v>387</v>
      </c>
      <c r="CX7" s="5" t="s">
        <v>108</v>
      </c>
    </row>
    <row r="8" spans="1:102" ht="28.8" customHeight="1">
      <c r="A8" s="5" t="s">
        <v>388</v>
      </c>
      <c r="B8" s="5" t="s">
        <v>389</v>
      </c>
      <c r="C8" s="5" t="s">
        <v>390</v>
      </c>
      <c r="D8" s="5" t="s">
        <v>105</v>
      </c>
      <c r="E8" s="5" t="s">
        <v>106</v>
      </c>
      <c r="F8" s="5" t="s">
        <v>2693</v>
      </c>
      <c r="G8" s="5" t="s">
        <v>2740</v>
      </c>
      <c r="H8" s="5">
        <v>4</v>
      </c>
      <c r="I8" s="5" t="s">
        <v>109</v>
      </c>
      <c r="J8" s="5" t="s">
        <v>108</v>
      </c>
      <c r="K8" s="5" t="s">
        <v>391</v>
      </c>
      <c r="L8" s="5" t="s">
        <v>392</v>
      </c>
      <c r="M8" s="5" t="s">
        <v>347</v>
      </c>
      <c r="N8" s="5" t="s">
        <v>113</v>
      </c>
      <c r="O8" s="5" t="s">
        <v>393</v>
      </c>
      <c r="P8" s="5" t="s">
        <v>349</v>
      </c>
      <c r="Q8" s="5" t="s">
        <v>115</v>
      </c>
      <c r="R8" s="5" t="s">
        <v>394</v>
      </c>
      <c r="S8" s="5" t="s">
        <v>395</v>
      </c>
      <c r="T8" s="5" t="s">
        <v>117</v>
      </c>
      <c r="U8" s="5">
        <v>5</v>
      </c>
      <c r="V8" s="5" t="s">
        <v>118</v>
      </c>
      <c r="W8" s="5" t="s">
        <v>391</v>
      </c>
      <c r="X8" s="5" t="s">
        <v>119</v>
      </c>
      <c r="Y8" s="5" t="s">
        <v>396</v>
      </c>
      <c r="Z8" s="5" t="s">
        <v>121</v>
      </c>
      <c r="AA8" s="5" t="s">
        <v>397</v>
      </c>
      <c r="AB8" s="5" t="s">
        <v>108</v>
      </c>
      <c r="AC8" s="5" t="s">
        <v>108</v>
      </c>
      <c r="AD8" s="5" t="s">
        <v>124</v>
      </c>
      <c r="AE8" s="5" t="s">
        <v>108</v>
      </c>
      <c r="AF8" s="5" t="s">
        <v>394</v>
      </c>
      <c r="AG8" s="5" t="s">
        <v>395</v>
      </c>
      <c r="AH8" s="5" t="s">
        <v>175</v>
      </c>
      <c r="AI8" s="5" t="s">
        <v>176</v>
      </c>
      <c r="AJ8" s="5" t="s">
        <v>398</v>
      </c>
      <c r="AK8" s="5" t="s">
        <v>398</v>
      </c>
      <c r="AL8" s="5" t="s">
        <v>128</v>
      </c>
      <c r="AM8" s="5" t="s">
        <v>108</v>
      </c>
      <c r="AN8" s="5" t="s">
        <v>108</v>
      </c>
      <c r="AO8" s="5" t="s">
        <v>108</v>
      </c>
      <c r="AP8" s="5" t="s">
        <v>399</v>
      </c>
      <c r="AQ8" s="5" t="s">
        <v>108</v>
      </c>
      <c r="AR8" s="5" t="s">
        <v>124</v>
      </c>
      <c r="AS8" s="5" t="s">
        <v>108</v>
      </c>
      <c r="AT8" s="5" t="s">
        <v>400</v>
      </c>
      <c r="AU8" s="5" t="s">
        <v>108</v>
      </c>
      <c r="AV8" s="5" t="s">
        <v>401</v>
      </c>
      <c r="AW8" s="5" t="s">
        <v>399</v>
      </c>
      <c r="AX8" s="5" t="s">
        <v>108</v>
      </c>
      <c r="AY8" s="5" t="s">
        <v>108</v>
      </c>
      <c r="AZ8" s="5" t="s">
        <v>402</v>
      </c>
      <c r="BA8" s="5" t="s">
        <v>403</v>
      </c>
      <c r="BB8" s="5" t="s">
        <v>404</v>
      </c>
      <c r="BC8" s="5" t="s">
        <v>108</v>
      </c>
      <c r="BD8" s="5" t="s">
        <v>405</v>
      </c>
      <c r="BE8" s="5" t="s">
        <v>406</v>
      </c>
      <c r="BF8" s="5" t="s">
        <v>407</v>
      </c>
      <c r="BG8" s="5" t="s">
        <v>108</v>
      </c>
      <c r="BH8" s="5" t="s">
        <v>108</v>
      </c>
      <c r="BI8" s="5" t="s">
        <v>408</v>
      </c>
      <c r="BJ8" s="5" t="s">
        <v>409</v>
      </c>
      <c r="BK8" s="5" t="s">
        <v>108</v>
      </c>
      <c r="BL8" s="5" t="s">
        <v>108</v>
      </c>
      <c r="BM8" s="5" t="s">
        <v>410</v>
      </c>
      <c r="BN8" s="5" t="s">
        <v>411</v>
      </c>
      <c r="BO8" s="5" t="s">
        <v>409</v>
      </c>
      <c r="BP8" s="5" t="s">
        <v>412</v>
      </c>
      <c r="BQ8" s="5" t="s">
        <v>405</v>
      </c>
      <c r="BR8" s="5" t="s">
        <v>413</v>
      </c>
      <c r="BS8" s="5">
        <v>1</v>
      </c>
      <c r="BT8" s="5" t="s">
        <v>414</v>
      </c>
      <c r="BU8" s="5">
        <v>4</v>
      </c>
      <c r="BV8" s="5" t="s">
        <v>108</v>
      </c>
      <c r="BW8" s="5" t="s">
        <v>403</v>
      </c>
      <c r="BX8" s="5" t="s">
        <v>191</v>
      </c>
      <c r="BY8" s="5" t="s">
        <v>415</v>
      </c>
      <c r="BZ8" s="5" t="s">
        <v>416</v>
      </c>
      <c r="CA8" s="5" t="s">
        <v>149</v>
      </c>
      <c r="CB8" s="5" t="s">
        <v>417</v>
      </c>
      <c r="CC8" s="5" t="s">
        <v>417</v>
      </c>
      <c r="CD8" s="5" t="s">
        <v>108</v>
      </c>
      <c r="CE8" s="5" t="s">
        <v>108</v>
      </c>
      <c r="CF8" s="5" t="s">
        <v>108</v>
      </c>
      <c r="CG8" s="5" t="s">
        <v>152</v>
      </c>
      <c r="CH8" s="5" t="s">
        <v>154</v>
      </c>
      <c r="CI8" s="5" t="s">
        <v>155</v>
      </c>
      <c r="CJ8" s="5" t="s">
        <v>418</v>
      </c>
      <c r="CK8" s="5" t="s">
        <v>398</v>
      </c>
      <c r="CL8" s="5" t="s">
        <v>108</v>
      </c>
      <c r="CM8" s="5">
        <f>IFERROR(VLOOKUP($A8,Quality_Appraisal!$A:$P,15,FALSE),"")</f>
        <v>20</v>
      </c>
      <c r="CN8" s="5" t="str">
        <f>IFERROR(VLOOKUP($A8,Quality_Appraisal!$A:$P,16,FALSE),"")</f>
        <v>Strong</v>
      </c>
      <c r="CO8" s="5" t="s">
        <v>156</v>
      </c>
      <c r="CP8" s="5" t="s">
        <v>157</v>
      </c>
      <c r="CQ8" s="5" t="s">
        <v>397</v>
      </c>
      <c r="CR8" s="5" t="s">
        <v>108</v>
      </c>
      <c r="CS8" s="5" t="s">
        <v>119</v>
      </c>
      <c r="CT8" s="5" t="s">
        <v>397</v>
      </c>
      <c r="CU8" s="5" t="s">
        <v>158</v>
      </c>
      <c r="CV8" s="5" t="s">
        <v>108</v>
      </c>
      <c r="CW8" s="5" t="s">
        <v>419</v>
      </c>
      <c r="CX8" s="5" t="s">
        <v>108</v>
      </c>
    </row>
    <row r="9" spans="1:102" ht="28.8" customHeight="1">
      <c r="A9" s="5" t="s">
        <v>420</v>
      </c>
      <c r="B9" s="5" t="s">
        <v>421</v>
      </c>
      <c r="C9" s="5" t="s">
        <v>422</v>
      </c>
      <c r="D9" s="5" t="s">
        <v>105</v>
      </c>
      <c r="E9" s="5" t="s">
        <v>106</v>
      </c>
      <c r="F9" s="5" t="s">
        <v>2693</v>
      </c>
      <c r="G9" s="5" t="s">
        <v>2740</v>
      </c>
      <c r="H9" s="5">
        <v>4</v>
      </c>
      <c r="I9" s="5" t="s">
        <v>109</v>
      </c>
      <c r="J9" s="5" t="s">
        <v>108</v>
      </c>
      <c r="K9" s="5" t="s">
        <v>423</v>
      </c>
      <c r="L9" s="5" t="s">
        <v>424</v>
      </c>
      <c r="M9" s="5" t="s">
        <v>347</v>
      </c>
      <c r="N9" s="5" t="s">
        <v>113</v>
      </c>
      <c r="O9" s="5" t="s">
        <v>425</v>
      </c>
      <c r="P9" s="5" t="s">
        <v>108</v>
      </c>
      <c r="Q9" s="5" t="s">
        <v>115</v>
      </c>
      <c r="R9" s="5" t="s">
        <v>108</v>
      </c>
      <c r="S9" s="5" t="s">
        <v>426</v>
      </c>
      <c r="T9" s="5" t="s">
        <v>117</v>
      </c>
      <c r="U9" s="5">
        <v>5</v>
      </c>
      <c r="V9" s="5" t="s">
        <v>118</v>
      </c>
      <c r="W9" s="5" t="s">
        <v>423</v>
      </c>
      <c r="X9" s="5" t="s">
        <v>427</v>
      </c>
      <c r="Y9" s="5" t="s">
        <v>428</v>
      </c>
      <c r="Z9" s="5" t="s">
        <v>121</v>
      </c>
      <c r="AA9" s="5" t="s">
        <v>429</v>
      </c>
      <c r="AB9" s="5" t="s">
        <v>108</v>
      </c>
      <c r="AC9" s="5" t="s">
        <v>430</v>
      </c>
      <c r="AD9" s="5" t="s">
        <v>431</v>
      </c>
      <c r="AE9" s="5" t="s">
        <v>432</v>
      </c>
      <c r="AF9" s="5" t="s">
        <v>431</v>
      </c>
      <c r="AG9" s="5" t="s">
        <v>426</v>
      </c>
      <c r="AH9" s="5" t="s">
        <v>125</v>
      </c>
      <c r="AI9" s="5" t="s">
        <v>126</v>
      </c>
      <c r="AJ9" s="5" t="s">
        <v>127</v>
      </c>
      <c r="AK9" s="5" t="s">
        <v>127</v>
      </c>
      <c r="AL9" s="5" t="s">
        <v>128</v>
      </c>
      <c r="AM9" s="5" t="s">
        <v>129</v>
      </c>
      <c r="AN9" s="5" t="s">
        <v>433</v>
      </c>
      <c r="AO9" s="5" t="s">
        <v>433</v>
      </c>
      <c r="AP9" s="5" t="s">
        <v>434</v>
      </c>
      <c r="AQ9" s="5" t="s">
        <v>435</v>
      </c>
      <c r="AR9" s="5" t="s">
        <v>435</v>
      </c>
      <c r="AS9" s="5" t="s">
        <v>436</v>
      </c>
      <c r="AT9" s="5" t="s">
        <v>430</v>
      </c>
      <c r="AU9" s="5" t="s">
        <v>437</v>
      </c>
      <c r="AV9" s="5" t="s">
        <v>438</v>
      </c>
      <c r="AW9" s="5" t="s">
        <v>434</v>
      </c>
      <c r="AX9" s="5" t="s">
        <v>108</v>
      </c>
      <c r="AY9" s="5" t="s">
        <v>108</v>
      </c>
      <c r="AZ9" s="5" t="s">
        <v>430</v>
      </c>
      <c r="BA9" s="5" t="s">
        <v>439</v>
      </c>
      <c r="BB9" s="5" t="s">
        <v>430</v>
      </c>
      <c r="BC9" s="5" t="s">
        <v>440</v>
      </c>
      <c r="BD9" s="5" t="s">
        <v>429</v>
      </c>
      <c r="BE9" s="5" t="s">
        <v>441</v>
      </c>
      <c r="BF9" s="5" t="s">
        <v>442</v>
      </c>
      <c r="BG9" s="5" t="s">
        <v>443</v>
      </c>
      <c r="BH9" s="5" t="s">
        <v>444</v>
      </c>
      <c r="BI9" s="5" t="s">
        <v>445</v>
      </c>
      <c r="BJ9" s="5" t="s">
        <v>444</v>
      </c>
      <c r="BK9" s="5" t="s">
        <v>446</v>
      </c>
      <c r="BL9" s="5" t="s">
        <v>108</v>
      </c>
      <c r="BM9" s="5" t="s">
        <v>447</v>
      </c>
      <c r="BN9" s="5" t="s">
        <v>443</v>
      </c>
      <c r="BO9" s="5" t="s">
        <v>448</v>
      </c>
      <c r="BP9" s="5" t="s">
        <v>449</v>
      </c>
      <c r="BQ9" s="5" t="s">
        <v>429</v>
      </c>
      <c r="BR9" s="5" t="s">
        <v>450</v>
      </c>
      <c r="BS9" s="5">
        <v>7</v>
      </c>
      <c r="BT9" s="5" t="s">
        <v>446</v>
      </c>
      <c r="BU9" s="5">
        <v>4</v>
      </c>
      <c r="BV9" s="5" t="s">
        <v>108</v>
      </c>
      <c r="BW9" s="5" t="s">
        <v>439</v>
      </c>
      <c r="BX9" s="5" t="s">
        <v>146</v>
      </c>
      <c r="BY9" s="5" t="s">
        <v>451</v>
      </c>
      <c r="BZ9" s="5" t="s">
        <v>452</v>
      </c>
      <c r="CA9" s="5" t="s">
        <v>248</v>
      </c>
      <c r="CB9" s="5" t="s">
        <v>453</v>
      </c>
      <c r="CC9" s="5" t="s">
        <v>453</v>
      </c>
      <c r="CD9" s="5" t="s">
        <v>108</v>
      </c>
      <c r="CE9" s="5" t="s">
        <v>108</v>
      </c>
      <c r="CF9" s="5" t="s">
        <v>444</v>
      </c>
      <c r="CG9" s="5" t="s">
        <v>154</v>
      </c>
      <c r="CH9" s="5" t="s">
        <v>153</v>
      </c>
      <c r="CI9" s="5" t="s">
        <v>152</v>
      </c>
      <c r="CJ9" s="5" t="s">
        <v>454</v>
      </c>
      <c r="CK9" s="5" t="s">
        <v>127</v>
      </c>
      <c r="CL9" s="5" t="s">
        <v>108</v>
      </c>
      <c r="CM9" s="5">
        <f>IFERROR(VLOOKUP($A9,Quality_Appraisal!$A:$P,15,FALSE),"")</f>
        <v>24</v>
      </c>
      <c r="CN9" s="5" t="str">
        <f>IFERROR(VLOOKUP($A9,Quality_Appraisal!$A:$P,16,FALSE),"")</f>
        <v>Strong</v>
      </c>
      <c r="CO9" s="5" t="s">
        <v>156</v>
      </c>
      <c r="CP9" s="5" t="s">
        <v>455</v>
      </c>
      <c r="CQ9" s="5" t="s">
        <v>429</v>
      </c>
      <c r="CR9" s="5" t="s">
        <v>108</v>
      </c>
      <c r="CS9" s="5" t="s">
        <v>427</v>
      </c>
      <c r="CT9" s="5" t="s">
        <v>429</v>
      </c>
      <c r="CU9" s="5" t="s">
        <v>253</v>
      </c>
      <c r="CV9" s="5" t="s">
        <v>108</v>
      </c>
      <c r="CW9" s="5" t="s">
        <v>456</v>
      </c>
      <c r="CX9" s="5" t="s">
        <v>108</v>
      </c>
    </row>
    <row r="10" spans="1:102" ht="28.8" customHeight="1">
      <c r="A10" s="5" t="s">
        <v>457</v>
      </c>
      <c r="B10" s="5" t="s">
        <v>458</v>
      </c>
      <c r="C10" s="5" t="s">
        <v>459</v>
      </c>
      <c r="D10" s="5" t="s">
        <v>105</v>
      </c>
      <c r="E10" s="5" t="s">
        <v>106</v>
      </c>
      <c r="F10" s="5" t="s">
        <v>2693</v>
      </c>
      <c r="G10" s="5" t="s">
        <v>2740</v>
      </c>
      <c r="H10" s="5">
        <v>4</v>
      </c>
      <c r="I10" s="5" t="s">
        <v>109</v>
      </c>
      <c r="J10" s="5" t="s">
        <v>108</v>
      </c>
      <c r="K10" s="5" t="s">
        <v>460</v>
      </c>
      <c r="L10" s="5" t="s">
        <v>461</v>
      </c>
      <c r="M10" s="5" t="s">
        <v>112</v>
      </c>
      <c r="N10" s="5" t="s">
        <v>113</v>
      </c>
      <c r="O10" s="5" t="s">
        <v>462</v>
      </c>
      <c r="P10" s="5" t="s">
        <v>108</v>
      </c>
      <c r="Q10" s="5" t="s">
        <v>115</v>
      </c>
      <c r="R10" s="5" t="s">
        <v>463</v>
      </c>
      <c r="S10" s="5" t="s">
        <v>464</v>
      </c>
      <c r="T10" s="5" t="s">
        <v>117</v>
      </c>
      <c r="U10" s="5">
        <v>5</v>
      </c>
      <c r="V10" s="5" t="s">
        <v>118</v>
      </c>
      <c r="W10" s="5" t="s">
        <v>460</v>
      </c>
      <c r="X10" s="5" t="s">
        <v>119</v>
      </c>
      <c r="Y10" s="5" t="s">
        <v>465</v>
      </c>
      <c r="Z10" s="5" t="s">
        <v>121</v>
      </c>
      <c r="AA10" s="5" t="s">
        <v>466</v>
      </c>
      <c r="AB10" s="5" t="s">
        <v>467</v>
      </c>
      <c r="AC10" s="5" t="s">
        <v>468</v>
      </c>
      <c r="AD10" s="5" t="s">
        <v>469</v>
      </c>
      <c r="AE10" s="5" t="s">
        <v>470</v>
      </c>
      <c r="AF10" s="5" t="s">
        <v>463</v>
      </c>
      <c r="AG10" s="5" t="s">
        <v>464</v>
      </c>
      <c r="AH10" s="5" t="s">
        <v>217</v>
      </c>
      <c r="AI10" s="5" t="s">
        <v>218</v>
      </c>
      <c r="AJ10" s="5" t="s">
        <v>217</v>
      </c>
      <c r="AK10" s="5" t="s">
        <v>217</v>
      </c>
      <c r="AL10" s="5" t="s">
        <v>178</v>
      </c>
      <c r="AM10" s="5" t="s">
        <v>220</v>
      </c>
      <c r="AN10" s="5" t="s">
        <v>108</v>
      </c>
      <c r="AO10" s="5" t="s">
        <v>108</v>
      </c>
      <c r="AP10" s="5" t="s">
        <v>471</v>
      </c>
      <c r="AQ10" s="5" t="s">
        <v>472</v>
      </c>
      <c r="AR10" s="5" t="s">
        <v>472</v>
      </c>
      <c r="AS10" s="5" t="s">
        <v>108</v>
      </c>
      <c r="AT10" s="5" t="s">
        <v>473</v>
      </c>
      <c r="AU10" s="5" t="s">
        <v>108</v>
      </c>
      <c r="AV10" s="5" t="s">
        <v>474</v>
      </c>
      <c r="AW10" s="5" t="s">
        <v>471</v>
      </c>
      <c r="AX10" s="5" t="s">
        <v>108</v>
      </c>
      <c r="AY10" s="5" t="s">
        <v>108</v>
      </c>
      <c r="AZ10" s="5" t="s">
        <v>475</v>
      </c>
      <c r="BA10" s="5" t="s">
        <v>108</v>
      </c>
      <c r="BB10" s="5" t="s">
        <v>476</v>
      </c>
      <c r="BC10" s="5" t="s">
        <v>477</v>
      </c>
      <c r="BD10" s="5" t="s">
        <v>466</v>
      </c>
      <c r="BE10" s="5" t="s">
        <v>478</v>
      </c>
      <c r="BF10" s="5" t="s">
        <v>479</v>
      </c>
      <c r="BG10" s="5" t="s">
        <v>480</v>
      </c>
      <c r="BH10" s="5" t="s">
        <v>481</v>
      </c>
      <c r="BI10" s="5" t="s">
        <v>482</v>
      </c>
      <c r="BJ10" s="5" t="s">
        <v>483</v>
      </c>
      <c r="BK10" s="5" t="s">
        <v>484</v>
      </c>
      <c r="BL10" s="5" t="s">
        <v>485</v>
      </c>
      <c r="BM10" s="5" t="s">
        <v>486</v>
      </c>
      <c r="BN10" s="5" t="s">
        <v>475</v>
      </c>
      <c r="BO10" s="5" t="s">
        <v>487</v>
      </c>
      <c r="BP10" s="5" t="s">
        <v>488</v>
      </c>
      <c r="BQ10" s="5" t="s">
        <v>466</v>
      </c>
      <c r="BR10" s="5" t="s">
        <v>489</v>
      </c>
      <c r="BS10" s="5">
        <v>1</v>
      </c>
      <c r="BT10" s="5" t="s">
        <v>490</v>
      </c>
      <c r="BU10" s="5">
        <v>1</v>
      </c>
      <c r="BV10" s="5" t="s">
        <v>108</v>
      </c>
      <c r="BW10" s="5" t="s">
        <v>108</v>
      </c>
      <c r="BX10" s="5" t="s">
        <v>191</v>
      </c>
      <c r="BY10" s="5" t="s">
        <v>491</v>
      </c>
      <c r="BZ10" s="5" t="s">
        <v>492</v>
      </c>
      <c r="CA10" s="5" t="s">
        <v>149</v>
      </c>
      <c r="CB10" s="5" t="s">
        <v>492</v>
      </c>
      <c r="CC10" s="5" t="s">
        <v>108</v>
      </c>
      <c r="CD10" s="5" t="s">
        <v>481</v>
      </c>
      <c r="CE10" s="5" t="s">
        <v>108</v>
      </c>
      <c r="CF10" s="5" t="s">
        <v>481</v>
      </c>
      <c r="CG10" s="5" t="s">
        <v>152</v>
      </c>
      <c r="CH10" s="5" t="s">
        <v>154</v>
      </c>
      <c r="CI10" s="5" t="s">
        <v>493</v>
      </c>
      <c r="CJ10" s="5" t="s">
        <v>494</v>
      </c>
      <c r="CK10" s="5" t="s">
        <v>217</v>
      </c>
      <c r="CL10" s="5" t="s">
        <v>108</v>
      </c>
      <c r="CM10" s="5">
        <f>IFERROR(VLOOKUP($A10,Quality_Appraisal!$A:$P,15,FALSE),"")</f>
        <v>22</v>
      </c>
      <c r="CN10" s="5" t="str">
        <f>IFERROR(VLOOKUP($A10,Quality_Appraisal!$A:$P,16,FALSE),"")</f>
        <v>Strong</v>
      </c>
      <c r="CO10" s="5" t="s">
        <v>156</v>
      </c>
      <c r="CP10" s="5" t="s">
        <v>157</v>
      </c>
      <c r="CQ10" s="5" t="s">
        <v>466</v>
      </c>
      <c r="CR10" s="5" t="s">
        <v>108</v>
      </c>
      <c r="CS10" s="5" t="s">
        <v>119</v>
      </c>
      <c r="CT10" s="5" t="s">
        <v>466</v>
      </c>
      <c r="CU10" s="5" t="s">
        <v>158</v>
      </c>
      <c r="CV10" s="5" t="s">
        <v>108</v>
      </c>
      <c r="CW10" s="5" t="s">
        <v>495</v>
      </c>
      <c r="CX10" s="5" t="s">
        <v>108</v>
      </c>
    </row>
    <row r="11" spans="1:102" ht="28.8" customHeight="1">
      <c r="A11" s="5" t="s">
        <v>496</v>
      </c>
      <c r="B11" s="5" t="s">
        <v>497</v>
      </c>
      <c r="C11" s="5" t="s">
        <v>498</v>
      </c>
      <c r="D11" s="5" t="s">
        <v>105</v>
      </c>
      <c r="E11" s="5" t="s">
        <v>106</v>
      </c>
      <c r="F11" s="5" t="s">
        <v>2693</v>
      </c>
      <c r="G11" s="5" t="s">
        <v>2740</v>
      </c>
      <c r="H11" s="5">
        <v>4</v>
      </c>
      <c r="I11" s="5" t="s">
        <v>109</v>
      </c>
      <c r="J11" s="5" t="s">
        <v>108</v>
      </c>
      <c r="K11" s="5" t="s">
        <v>499</v>
      </c>
      <c r="L11" s="5" t="s">
        <v>500</v>
      </c>
      <c r="M11" s="5" t="s">
        <v>501</v>
      </c>
      <c r="N11" s="5" t="s">
        <v>108</v>
      </c>
      <c r="O11" s="5" t="s">
        <v>502</v>
      </c>
      <c r="P11" s="5" t="s">
        <v>263</v>
      </c>
      <c r="Q11" s="5" t="s">
        <v>115</v>
      </c>
      <c r="R11" s="5" t="s">
        <v>503</v>
      </c>
      <c r="S11" s="5" t="s">
        <v>504</v>
      </c>
      <c r="T11" s="5" t="s">
        <v>117</v>
      </c>
      <c r="U11" s="5">
        <v>5</v>
      </c>
      <c r="V11" s="5" t="s">
        <v>118</v>
      </c>
      <c r="W11" s="5" t="s">
        <v>499</v>
      </c>
      <c r="X11" s="5" t="s">
        <v>168</v>
      </c>
      <c r="Y11" s="5" t="s">
        <v>505</v>
      </c>
      <c r="Z11" s="5" t="s">
        <v>121</v>
      </c>
      <c r="AA11" s="5" t="s">
        <v>506</v>
      </c>
      <c r="AB11" s="5" t="s">
        <v>507</v>
      </c>
      <c r="AC11" s="5" t="s">
        <v>108</v>
      </c>
      <c r="AD11" s="5" t="s">
        <v>508</v>
      </c>
      <c r="AE11" s="5" t="s">
        <v>509</v>
      </c>
      <c r="AF11" s="5" t="s">
        <v>503</v>
      </c>
      <c r="AG11" s="5" t="s">
        <v>504</v>
      </c>
      <c r="AH11" s="5" t="s">
        <v>125</v>
      </c>
      <c r="AI11" s="5" t="s">
        <v>126</v>
      </c>
      <c r="AJ11" s="5" t="s">
        <v>271</v>
      </c>
      <c r="AK11" s="5" t="s">
        <v>271</v>
      </c>
      <c r="AL11" s="5" t="s">
        <v>128</v>
      </c>
      <c r="AM11" s="5" t="s">
        <v>129</v>
      </c>
      <c r="AN11" s="5" t="s">
        <v>108</v>
      </c>
      <c r="AO11" s="5" t="s">
        <v>108</v>
      </c>
      <c r="AP11" s="5" t="s">
        <v>510</v>
      </c>
      <c r="AQ11" s="5" t="s">
        <v>511</v>
      </c>
      <c r="AR11" s="5" t="s">
        <v>511</v>
      </c>
      <c r="AS11" s="5" t="s">
        <v>512</v>
      </c>
      <c r="AT11" s="5" t="s">
        <v>513</v>
      </c>
      <c r="AU11" s="5" t="s">
        <v>108</v>
      </c>
      <c r="AV11" s="5" t="s">
        <v>514</v>
      </c>
      <c r="AW11" s="5" t="s">
        <v>510</v>
      </c>
      <c r="AX11" s="5" t="s">
        <v>108</v>
      </c>
      <c r="AY11" s="5" t="s">
        <v>108</v>
      </c>
      <c r="AZ11" s="5" t="s">
        <v>515</v>
      </c>
      <c r="BA11" s="5" t="s">
        <v>108</v>
      </c>
      <c r="BB11" s="5" t="s">
        <v>516</v>
      </c>
      <c r="BC11" s="5" t="s">
        <v>108</v>
      </c>
      <c r="BD11" s="5" t="s">
        <v>506</v>
      </c>
      <c r="BE11" s="5" t="s">
        <v>517</v>
      </c>
      <c r="BF11" s="5" t="s">
        <v>518</v>
      </c>
      <c r="BG11" s="5" t="s">
        <v>108</v>
      </c>
      <c r="BH11" s="5" t="s">
        <v>519</v>
      </c>
      <c r="BI11" s="5" t="s">
        <v>520</v>
      </c>
      <c r="BJ11" s="5" t="s">
        <v>521</v>
      </c>
      <c r="BK11" s="5" t="s">
        <v>522</v>
      </c>
      <c r="BL11" s="5" t="s">
        <v>523</v>
      </c>
      <c r="BM11" s="5" t="s">
        <v>108</v>
      </c>
      <c r="BN11" s="5" t="s">
        <v>524</v>
      </c>
      <c r="BO11" s="5" t="s">
        <v>525</v>
      </c>
      <c r="BP11" s="5" t="s">
        <v>520</v>
      </c>
      <c r="BQ11" s="5" t="s">
        <v>506</v>
      </c>
      <c r="BR11" s="5" t="s">
        <v>526</v>
      </c>
      <c r="BS11" s="5">
        <v>1</v>
      </c>
      <c r="BT11" s="5" t="s">
        <v>526</v>
      </c>
      <c r="BU11" s="5">
        <v>1</v>
      </c>
      <c r="BV11" s="5" t="s">
        <v>108</v>
      </c>
      <c r="BW11" s="5" t="s">
        <v>108</v>
      </c>
      <c r="BX11" s="5" t="s">
        <v>191</v>
      </c>
      <c r="BY11" s="5" t="s">
        <v>527</v>
      </c>
      <c r="BZ11" s="5" t="s">
        <v>528</v>
      </c>
      <c r="CA11" s="5" t="s">
        <v>149</v>
      </c>
      <c r="CB11" s="5" t="s">
        <v>529</v>
      </c>
      <c r="CC11" s="5" t="s">
        <v>529</v>
      </c>
      <c r="CD11" s="5" t="s">
        <v>108</v>
      </c>
      <c r="CE11" s="5" t="s">
        <v>108</v>
      </c>
      <c r="CF11" s="5" t="s">
        <v>519</v>
      </c>
      <c r="CG11" s="5" t="s">
        <v>194</v>
      </c>
      <c r="CH11" s="5" t="s">
        <v>152</v>
      </c>
      <c r="CI11" s="5" t="s">
        <v>530</v>
      </c>
      <c r="CJ11" s="5" t="s">
        <v>251</v>
      </c>
      <c r="CK11" s="5" t="s">
        <v>271</v>
      </c>
      <c r="CL11" s="5" t="s">
        <v>108</v>
      </c>
      <c r="CM11" s="5">
        <f>IFERROR(VLOOKUP($A11,Quality_Appraisal!$A:$P,15,FALSE),"")</f>
        <v>21</v>
      </c>
      <c r="CN11" s="5" t="str">
        <f>IFERROR(VLOOKUP($A11,Quality_Appraisal!$A:$P,16,FALSE),"")</f>
        <v>Strong</v>
      </c>
      <c r="CO11" s="5" t="s">
        <v>156</v>
      </c>
      <c r="CP11" s="5" t="s">
        <v>196</v>
      </c>
      <c r="CQ11" s="5" t="s">
        <v>506</v>
      </c>
      <c r="CR11" s="5" t="s">
        <v>108</v>
      </c>
      <c r="CS11" s="5" t="s">
        <v>168</v>
      </c>
      <c r="CT11" s="5" t="s">
        <v>506</v>
      </c>
      <c r="CU11" s="5" t="s">
        <v>158</v>
      </c>
      <c r="CV11" s="5" t="s">
        <v>108</v>
      </c>
      <c r="CW11" s="5" t="s">
        <v>531</v>
      </c>
      <c r="CX11" s="5" t="s">
        <v>108</v>
      </c>
    </row>
    <row r="12" spans="1:102" ht="28.8" customHeight="1">
      <c r="A12" s="5" t="s">
        <v>532</v>
      </c>
      <c r="B12" s="5" t="s">
        <v>533</v>
      </c>
      <c r="C12" s="5" t="s">
        <v>534</v>
      </c>
      <c r="D12" s="5" t="s">
        <v>105</v>
      </c>
      <c r="E12" s="5" t="s">
        <v>106</v>
      </c>
      <c r="F12" s="5" t="s">
        <v>2693</v>
      </c>
      <c r="G12" s="5" t="s">
        <v>2740</v>
      </c>
      <c r="H12" s="5">
        <v>4</v>
      </c>
      <c r="I12" s="5" t="s">
        <v>109</v>
      </c>
      <c r="J12" s="5" t="s">
        <v>535</v>
      </c>
      <c r="K12" s="5" t="s">
        <v>536</v>
      </c>
      <c r="L12" s="5" t="s">
        <v>537</v>
      </c>
      <c r="M12" s="5" t="s">
        <v>538</v>
      </c>
      <c r="N12" s="5" t="s">
        <v>539</v>
      </c>
      <c r="O12" s="5" t="s">
        <v>540</v>
      </c>
      <c r="P12" s="5" t="s">
        <v>108</v>
      </c>
      <c r="Q12" s="5" t="s">
        <v>115</v>
      </c>
      <c r="R12" s="5" t="s">
        <v>541</v>
      </c>
      <c r="S12" s="5" t="s">
        <v>542</v>
      </c>
      <c r="T12" s="5" t="s">
        <v>117</v>
      </c>
      <c r="U12" s="5">
        <v>5</v>
      </c>
      <c r="V12" s="5" t="s">
        <v>118</v>
      </c>
      <c r="W12" s="5" t="s">
        <v>536</v>
      </c>
      <c r="X12" s="5" t="s">
        <v>119</v>
      </c>
      <c r="Y12" s="5" t="s">
        <v>543</v>
      </c>
      <c r="Z12" s="5" t="s">
        <v>121</v>
      </c>
      <c r="AA12" s="5" t="s">
        <v>544</v>
      </c>
      <c r="AB12" s="5" t="s">
        <v>545</v>
      </c>
      <c r="AC12" s="5" t="s">
        <v>545</v>
      </c>
      <c r="AD12" s="5" t="s">
        <v>546</v>
      </c>
      <c r="AE12" s="5" t="s">
        <v>547</v>
      </c>
      <c r="AF12" s="5" t="s">
        <v>541</v>
      </c>
      <c r="AG12" s="5" t="s">
        <v>542</v>
      </c>
      <c r="AH12" s="5" t="s">
        <v>217</v>
      </c>
      <c r="AI12" s="5" t="s">
        <v>218</v>
      </c>
      <c r="AJ12" s="5" t="s">
        <v>219</v>
      </c>
      <c r="AK12" s="5" t="s">
        <v>219</v>
      </c>
      <c r="AL12" s="5" t="s">
        <v>178</v>
      </c>
      <c r="AM12" s="5" t="s">
        <v>220</v>
      </c>
      <c r="AN12" s="5" t="s">
        <v>548</v>
      </c>
      <c r="AO12" s="5" t="s">
        <v>548</v>
      </c>
      <c r="AP12" s="5" t="s">
        <v>549</v>
      </c>
      <c r="AQ12" s="5" t="s">
        <v>550</v>
      </c>
      <c r="AR12" s="5" t="s">
        <v>550</v>
      </c>
      <c r="AS12" s="5" t="s">
        <v>551</v>
      </c>
      <c r="AT12" s="5" t="s">
        <v>552</v>
      </c>
      <c r="AU12" s="5" t="s">
        <v>552</v>
      </c>
      <c r="AV12" s="5" t="s">
        <v>552</v>
      </c>
      <c r="AW12" s="5" t="s">
        <v>549</v>
      </c>
      <c r="AX12" s="5" t="s">
        <v>552</v>
      </c>
      <c r="AY12" s="5" t="s">
        <v>108</v>
      </c>
      <c r="AZ12" s="5" t="s">
        <v>553</v>
      </c>
      <c r="BA12" s="5" t="s">
        <v>554</v>
      </c>
      <c r="BB12" s="5" t="s">
        <v>552</v>
      </c>
      <c r="BC12" s="5" t="s">
        <v>552</v>
      </c>
      <c r="BD12" s="5" t="s">
        <v>555</v>
      </c>
      <c r="BE12" s="5" t="s">
        <v>556</v>
      </c>
      <c r="BF12" s="5" t="s">
        <v>557</v>
      </c>
      <c r="BG12" s="5" t="s">
        <v>558</v>
      </c>
      <c r="BH12" s="5" t="s">
        <v>559</v>
      </c>
      <c r="BI12" s="5" t="s">
        <v>560</v>
      </c>
      <c r="BJ12" s="5" t="s">
        <v>561</v>
      </c>
      <c r="BK12" s="5" t="s">
        <v>562</v>
      </c>
      <c r="BL12" s="5" t="s">
        <v>563</v>
      </c>
      <c r="BM12" s="5" t="s">
        <v>564</v>
      </c>
      <c r="BN12" s="5" t="s">
        <v>565</v>
      </c>
      <c r="BO12" s="5" t="s">
        <v>561</v>
      </c>
      <c r="BP12" s="5" t="s">
        <v>566</v>
      </c>
      <c r="BQ12" s="5" t="s">
        <v>555</v>
      </c>
      <c r="BR12" s="5" t="s">
        <v>565</v>
      </c>
      <c r="BS12" s="5">
        <v>1</v>
      </c>
      <c r="BT12" s="5" t="s">
        <v>564</v>
      </c>
      <c r="BU12" s="5">
        <v>1</v>
      </c>
      <c r="BV12" s="5" t="s">
        <v>108</v>
      </c>
      <c r="BW12" s="5" t="s">
        <v>554</v>
      </c>
      <c r="BX12" s="5" t="s">
        <v>146</v>
      </c>
      <c r="BY12" s="5" t="s">
        <v>451</v>
      </c>
      <c r="BZ12" s="5" t="s">
        <v>567</v>
      </c>
      <c r="CA12" s="5" t="s">
        <v>248</v>
      </c>
      <c r="CB12" s="5" t="s">
        <v>568</v>
      </c>
      <c r="CC12" s="5" t="s">
        <v>568</v>
      </c>
      <c r="CD12" s="5" t="s">
        <v>559</v>
      </c>
      <c r="CE12" s="5" t="s">
        <v>108</v>
      </c>
      <c r="CF12" s="5" t="s">
        <v>559</v>
      </c>
      <c r="CG12" s="5" t="s">
        <v>152</v>
      </c>
      <c r="CH12" s="5" t="s">
        <v>569</v>
      </c>
      <c r="CI12" s="5" t="s">
        <v>252</v>
      </c>
      <c r="CJ12" s="5" t="s">
        <v>386</v>
      </c>
      <c r="CK12" s="5" t="s">
        <v>219</v>
      </c>
      <c r="CL12" s="5" t="s">
        <v>569</v>
      </c>
      <c r="CM12" s="5">
        <f>IFERROR(VLOOKUP($A12,Quality_Appraisal!$A:$P,15,FALSE),"")</f>
        <v>24</v>
      </c>
      <c r="CN12" s="5" t="str">
        <f>IFERROR(VLOOKUP($A12,Quality_Appraisal!$A:$P,16,FALSE),"")</f>
        <v>Strong</v>
      </c>
      <c r="CO12" s="5" t="s">
        <v>156</v>
      </c>
      <c r="CP12" s="5" t="s">
        <v>157</v>
      </c>
      <c r="CQ12" s="5" t="s">
        <v>544</v>
      </c>
      <c r="CR12" s="5" t="s">
        <v>108</v>
      </c>
      <c r="CS12" s="5" t="s">
        <v>119</v>
      </c>
      <c r="CT12" s="5" t="s">
        <v>544</v>
      </c>
      <c r="CU12" s="5" t="s">
        <v>253</v>
      </c>
      <c r="CV12" s="5" t="s">
        <v>108</v>
      </c>
      <c r="CW12" s="5" t="s">
        <v>570</v>
      </c>
      <c r="CX12" s="5" t="s">
        <v>571</v>
      </c>
    </row>
    <row r="13" spans="1:102" ht="28.8" customHeight="1">
      <c r="A13" s="5" t="s">
        <v>572</v>
      </c>
      <c r="B13" s="5" t="s">
        <v>573</v>
      </c>
      <c r="C13" s="5" t="s">
        <v>574</v>
      </c>
      <c r="D13" s="5" t="s">
        <v>105</v>
      </c>
      <c r="E13" s="5" t="s">
        <v>106</v>
      </c>
      <c r="F13" s="5" t="s">
        <v>2693</v>
      </c>
      <c r="G13" s="5" t="s">
        <v>2740</v>
      </c>
      <c r="H13" s="5">
        <v>4</v>
      </c>
      <c r="I13" s="5" t="s">
        <v>109</v>
      </c>
      <c r="J13" s="5" t="s">
        <v>575</v>
      </c>
      <c r="K13" s="5" t="s">
        <v>576</v>
      </c>
      <c r="L13" s="5" t="s">
        <v>577</v>
      </c>
      <c r="M13" s="5" t="s">
        <v>578</v>
      </c>
      <c r="N13" s="5" t="s">
        <v>539</v>
      </c>
      <c r="O13" s="5" t="s">
        <v>579</v>
      </c>
      <c r="P13" s="5" t="s">
        <v>580</v>
      </c>
      <c r="Q13" s="5" t="s">
        <v>115</v>
      </c>
      <c r="R13" s="5" t="s">
        <v>581</v>
      </c>
      <c r="S13" s="5" t="s">
        <v>582</v>
      </c>
      <c r="T13" s="5" t="s">
        <v>117</v>
      </c>
      <c r="U13" s="5">
        <v>5</v>
      </c>
      <c r="V13" s="5" t="s">
        <v>118</v>
      </c>
      <c r="W13" s="5" t="s">
        <v>576</v>
      </c>
      <c r="X13" s="5" t="s">
        <v>583</v>
      </c>
      <c r="Y13" s="5" t="s">
        <v>584</v>
      </c>
      <c r="Z13" s="5" t="s">
        <v>121</v>
      </c>
      <c r="AA13" s="5" t="s">
        <v>585</v>
      </c>
      <c r="AB13" s="5" t="s">
        <v>108</v>
      </c>
      <c r="AC13" s="5" t="s">
        <v>108</v>
      </c>
      <c r="AD13" s="5" t="s">
        <v>586</v>
      </c>
      <c r="AE13" s="5" t="s">
        <v>587</v>
      </c>
      <c r="AF13" s="5" t="s">
        <v>581</v>
      </c>
      <c r="AG13" s="5" t="s">
        <v>582</v>
      </c>
      <c r="AH13" s="5" t="s">
        <v>175</v>
      </c>
      <c r="AI13" s="5" t="s">
        <v>176</v>
      </c>
      <c r="AJ13" s="5" t="s">
        <v>588</v>
      </c>
      <c r="AK13" s="5" t="s">
        <v>588</v>
      </c>
      <c r="AL13" s="5" t="s">
        <v>128</v>
      </c>
      <c r="AM13" s="5" t="s">
        <v>359</v>
      </c>
      <c r="AN13" s="5" t="s">
        <v>589</v>
      </c>
      <c r="AO13" s="5" t="s">
        <v>589</v>
      </c>
      <c r="AP13" s="5" t="s">
        <v>590</v>
      </c>
      <c r="AQ13" s="5" t="s">
        <v>591</v>
      </c>
      <c r="AR13" s="5" t="s">
        <v>591</v>
      </c>
      <c r="AS13" s="5" t="s">
        <v>108</v>
      </c>
      <c r="AT13" s="5" t="s">
        <v>108</v>
      </c>
      <c r="AU13" s="5" t="s">
        <v>108</v>
      </c>
      <c r="AV13" s="5" t="s">
        <v>108</v>
      </c>
      <c r="AW13" s="5" t="s">
        <v>590</v>
      </c>
      <c r="AX13" s="5" t="s">
        <v>108</v>
      </c>
      <c r="AY13" s="5" t="s">
        <v>108</v>
      </c>
      <c r="AZ13" s="5" t="s">
        <v>592</v>
      </c>
      <c r="BA13" s="5" t="s">
        <v>592</v>
      </c>
      <c r="BB13" s="5" t="s">
        <v>593</v>
      </c>
      <c r="BC13" s="5" t="s">
        <v>108</v>
      </c>
      <c r="BD13" s="5" t="s">
        <v>585</v>
      </c>
      <c r="BE13" s="5" t="s">
        <v>594</v>
      </c>
      <c r="BF13" s="5" t="s">
        <v>595</v>
      </c>
      <c r="BG13" s="5" t="s">
        <v>596</v>
      </c>
      <c r="BH13" s="5" t="s">
        <v>597</v>
      </c>
      <c r="BI13" s="5" t="s">
        <v>598</v>
      </c>
      <c r="BJ13" s="5" t="s">
        <v>599</v>
      </c>
      <c r="BK13" s="5" t="s">
        <v>600</v>
      </c>
      <c r="BL13" s="5" t="s">
        <v>601</v>
      </c>
      <c r="BM13" s="5" t="s">
        <v>602</v>
      </c>
      <c r="BN13" s="5" t="s">
        <v>597</v>
      </c>
      <c r="BO13" s="5" t="s">
        <v>603</v>
      </c>
      <c r="BP13" s="5" t="s">
        <v>604</v>
      </c>
      <c r="BQ13" s="5" t="s">
        <v>585</v>
      </c>
      <c r="BR13" s="5" t="s">
        <v>605</v>
      </c>
      <c r="BS13" s="5">
        <v>5</v>
      </c>
      <c r="BT13" s="5" t="s">
        <v>592</v>
      </c>
      <c r="BU13" s="5">
        <v>1</v>
      </c>
      <c r="BV13" s="5" t="s">
        <v>108</v>
      </c>
      <c r="BW13" s="5" t="s">
        <v>592</v>
      </c>
      <c r="BX13" s="5" t="s">
        <v>191</v>
      </c>
      <c r="BY13" s="5" t="s">
        <v>383</v>
      </c>
      <c r="BZ13" s="5" t="s">
        <v>606</v>
      </c>
      <c r="CA13" s="5" t="s">
        <v>149</v>
      </c>
      <c r="CB13" s="5" t="s">
        <v>607</v>
      </c>
      <c r="CC13" s="5" t="s">
        <v>607</v>
      </c>
      <c r="CD13" s="5" t="s">
        <v>608</v>
      </c>
      <c r="CE13" s="5" t="s">
        <v>108</v>
      </c>
      <c r="CF13" s="5" t="s">
        <v>597</v>
      </c>
      <c r="CG13" s="5" t="s">
        <v>252</v>
      </c>
      <c r="CH13" s="5" t="s">
        <v>154</v>
      </c>
      <c r="CI13" s="5" t="s">
        <v>386</v>
      </c>
      <c r="CJ13" s="5" t="s">
        <v>530</v>
      </c>
      <c r="CK13" s="5" t="s">
        <v>588</v>
      </c>
      <c r="CL13" s="5" t="s">
        <v>108</v>
      </c>
      <c r="CM13" s="5">
        <f>IFERROR(VLOOKUP($A13,Quality_Appraisal!$A:$P,15,FALSE),"")</f>
        <v>20</v>
      </c>
      <c r="CN13" s="5" t="str">
        <f>IFERROR(VLOOKUP($A13,Quality_Appraisal!$A:$P,16,FALSE),"")</f>
        <v>Strong</v>
      </c>
      <c r="CO13" s="5" t="s">
        <v>156</v>
      </c>
      <c r="CP13" s="5" t="s">
        <v>455</v>
      </c>
      <c r="CQ13" s="5" t="s">
        <v>585</v>
      </c>
      <c r="CR13" s="5" t="s">
        <v>108</v>
      </c>
      <c r="CS13" s="5" t="s">
        <v>583</v>
      </c>
      <c r="CT13" s="5" t="s">
        <v>585</v>
      </c>
      <c r="CU13" s="5" t="s">
        <v>158</v>
      </c>
      <c r="CV13" s="5" t="s">
        <v>108</v>
      </c>
      <c r="CW13" s="5" t="s">
        <v>609</v>
      </c>
      <c r="CX13" s="5" t="s">
        <v>610</v>
      </c>
    </row>
    <row r="14" spans="1:102" ht="28.8" customHeight="1">
      <c r="A14" s="5" t="s">
        <v>611</v>
      </c>
      <c r="B14" s="5" t="s">
        <v>612</v>
      </c>
      <c r="C14" s="5" t="s">
        <v>613</v>
      </c>
      <c r="D14" s="5" t="s">
        <v>105</v>
      </c>
      <c r="E14" s="5" t="s">
        <v>106</v>
      </c>
      <c r="F14" s="5" t="s">
        <v>2693</v>
      </c>
      <c r="G14" s="5" t="s">
        <v>2740</v>
      </c>
      <c r="H14" s="5">
        <v>4</v>
      </c>
      <c r="I14" s="5" t="s">
        <v>109</v>
      </c>
      <c r="J14" s="5" t="s">
        <v>108</v>
      </c>
      <c r="K14" s="5" t="s">
        <v>614</v>
      </c>
      <c r="L14" s="5" t="s">
        <v>615</v>
      </c>
      <c r="M14" s="5" t="s">
        <v>538</v>
      </c>
      <c r="N14" s="5" t="s">
        <v>616</v>
      </c>
      <c r="O14" s="5" t="s">
        <v>617</v>
      </c>
      <c r="P14" s="5" t="s">
        <v>108</v>
      </c>
      <c r="Q14" s="5" t="s">
        <v>115</v>
      </c>
      <c r="R14" s="5" t="s">
        <v>618</v>
      </c>
      <c r="S14" s="5" t="s">
        <v>619</v>
      </c>
      <c r="T14" s="5" t="s">
        <v>117</v>
      </c>
      <c r="U14" s="5">
        <v>5</v>
      </c>
      <c r="V14" s="5" t="s">
        <v>118</v>
      </c>
      <c r="W14" s="5" t="s">
        <v>614</v>
      </c>
      <c r="X14" s="5" t="s">
        <v>583</v>
      </c>
      <c r="Y14" s="5" t="s">
        <v>584</v>
      </c>
      <c r="Z14" s="5" t="s">
        <v>121</v>
      </c>
      <c r="AA14" s="5" t="s">
        <v>620</v>
      </c>
      <c r="AB14" s="5" t="s">
        <v>621</v>
      </c>
      <c r="AC14" s="5" t="s">
        <v>622</v>
      </c>
      <c r="AD14" s="5" t="s">
        <v>623</v>
      </c>
      <c r="AE14" s="5" t="s">
        <v>624</v>
      </c>
      <c r="AF14" s="5" t="s">
        <v>618</v>
      </c>
      <c r="AG14" s="5" t="s">
        <v>619</v>
      </c>
      <c r="AH14" s="5" t="s">
        <v>175</v>
      </c>
      <c r="AI14" s="5" t="s">
        <v>176</v>
      </c>
      <c r="AJ14" s="5" t="s">
        <v>588</v>
      </c>
      <c r="AK14" s="5" t="s">
        <v>588</v>
      </c>
      <c r="AL14" s="5" t="s">
        <v>128</v>
      </c>
      <c r="AM14" s="5" t="s">
        <v>359</v>
      </c>
      <c r="AN14" s="5" t="s">
        <v>625</v>
      </c>
      <c r="AO14" s="5" t="s">
        <v>625</v>
      </c>
      <c r="AP14" s="5" t="s">
        <v>626</v>
      </c>
      <c r="AQ14" s="5" t="s">
        <v>627</v>
      </c>
      <c r="AR14" s="5" t="s">
        <v>627</v>
      </c>
      <c r="AS14" s="5" t="s">
        <v>628</v>
      </c>
      <c r="AT14" s="5" t="s">
        <v>629</v>
      </c>
      <c r="AU14" s="5" t="s">
        <v>108</v>
      </c>
      <c r="AV14" s="5" t="s">
        <v>630</v>
      </c>
      <c r="AW14" s="5" t="s">
        <v>626</v>
      </c>
      <c r="AX14" s="5" t="s">
        <v>108</v>
      </c>
      <c r="AY14" s="5" t="s">
        <v>108</v>
      </c>
      <c r="AZ14" s="5" t="s">
        <v>631</v>
      </c>
      <c r="BA14" s="5" t="s">
        <v>632</v>
      </c>
      <c r="BB14" s="5" t="s">
        <v>633</v>
      </c>
      <c r="BC14" s="5" t="s">
        <v>108</v>
      </c>
      <c r="BD14" s="5" t="s">
        <v>620</v>
      </c>
      <c r="BE14" s="5" t="s">
        <v>634</v>
      </c>
      <c r="BF14" s="5" t="s">
        <v>635</v>
      </c>
      <c r="BG14" s="5" t="s">
        <v>636</v>
      </c>
      <c r="BH14" s="5" t="s">
        <v>637</v>
      </c>
      <c r="BI14" s="5" t="s">
        <v>638</v>
      </c>
      <c r="BJ14" s="5" t="s">
        <v>639</v>
      </c>
      <c r="BK14" s="5" t="s">
        <v>108</v>
      </c>
      <c r="BL14" s="5" t="s">
        <v>640</v>
      </c>
      <c r="BM14" s="5" t="s">
        <v>641</v>
      </c>
      <c r="BN14" s="5" t="s">
        <v>622</v>
      </c>
      <c r="BO14" s="5" t="s">
        <v>642</v>
      </c>
      <c r="BP14" s="5" t="s">
        <v>640</v>
      </c>
      <c r="BQ14" s="5" t="s">
        <v>620</v>
      </c>
      <c r="BR14" s="5" t="s">
        <v>626</v>
      </c>
      <c r="BS14" s="5">
        <v>1</v>
      </c>
      <c r="BT14" s="5" t="s">
        <v>643</v>
      </c>
      <c r="BU14" s="5">
        <v>9</v>
      </c>
      <c r="BV14" s="5" t="s">
        <v>108</v>
      </c>
      <c r="BW14" s="5" t="s">
        <v>632</v>
      </c>
      <c r="BX14" s="5" t="s">
        <v>191</v>
      </c>
      <c r="BY14" s="5" t="s">
        <v>644</v>
      </c>
      <c r="BZ14" s="5" t="s">
        <v>645</v>
      </c>
      <c r="CA14" s="5" t="s">
        <v>149</v>
      </c>
      <c r="CB14" s="5" t="s">
        <v>646</v>
      </c>
      <c r="CC14" s="5" t="s">
        <v>646</v>
      </c>
      <c r="CD14" s="5" t="s">
        <v>647</v>
      </c>
      <c r="CE14" s="5" t="s">
        <v>108</v>
      </c>
      <c r="CF14" s="5" t="s">
        <v>637</v>
      </c>
      <c r="CG14" s="5" t="s">
        <v>252</v>
      </c>
      <c r="CH14" s="5" t="s">
        <v>154</v>
      </c>
      <c r="CI14" s="5" t="s">
        <v>386</v>
      </c>
      <c r="CJ14" s="5" t="s">
        <v>530</v>
      </c>
      <c r="CK14" s="5" t="s">
        <v>588</v>
      </c>
      <c r="CL14" s="5" t="s">
        <v>108</v>
      </c>
      <c r="CM14" s="5">
        <f>IFERROR(VLOOKUP($A14,Quality_Appraisal!$A:$P,15,FALSE),"")</f>
        <v>20</v>
      </c>
      <c r="CN14" s="5" t="str">
        <f>IFERROR(VLOOKUP($A14,Quality_Appraisal!$A:$P,16,FALSE),"")</f>
        <v>Strong</v>
      </c>
      <c r="CO14" s="5" t="s">
        <v>156</v>
      </c>
      <c r="CP14" s="5" t="s">
        <v>455</v>
      </c>
      <c r="CQ14" s="5" t="s">
        <v>620</v>
      </c>
      <c r="CR14" s="5" t="s">
        <v>108</v>
      </c>
      <c r="CS14" s="5" t="s">
        <v>583</v>
      </c>
      <c r="CT14" s="5" t="s">
        <v>620</v>
      </c>
      <c r="CU14" s="5" t="s">
        <v>158</v>
      </c>
      <c r="CV14" s="5" t="s">
        <v>108</v>
      </c>
      <c r="CW14" s="5" t="s">
        <v>648</v>
      </c>
      <c r="CX14" s="5" t="s">
        <v>108</v>
      </c>
    </row>
    <row r="15" spans="1:102" ht="28.8" customHeight="1">
      <c r="A15" s="5" t="s">
        <v>649</v>
      </c>
      <c r="B15" s="5" t="s">
        <v>650</v>
      </c>
      <c r="C15" s="5" t="s">
        <v>651</v>
      </c>
      <c r="D15" s="5" t="s">
        <v>105</v>
      </c>
      <c r="E15" s="5" t="s">
        <v>106</v>
      </c>
      <c r="F15" s="5" t="s">
        <v>2693</v>
      </c>
      <c r="G15" s="5" t="s">
        <v>2740</v>
      </c>
      <c r="H15" s="5">
        <v>4</v>
      </c>
      <c r="I15" s="5" t="s">
        <v>109</v>
      </c>
      <c r="J15" s="5" t="s">
        <v>652</v>
      </c>
      <c r="K15" s="5" t="s">
        <v>653</v>
      </c>
      <c r="L15" s="5" t="s">
        <v>654</v>
      </c>
      <c r="M15" s="5" t="s">
        <v>112</v>
      </c>
      <c r="N15" s="5" t="s">
        <v>108</v>
      </c>
      <c r="O15" s="5" t="s">
        <v>207</v>
      </c>
      <c r="P15" s="5" t="s">
        <v>208</v>
      </c>
      <c r="Q15" s="5" t="s">
        <v>115</v>
      </c>
      <c r="R15" s="5" t="s">
        <v>655</v>
      </c>
      <c r="S15" s="5" t="s">
        <v>656</v>
      </c>
      <c r="T15" s="5" t="s">
        <v>117</v>
      </c>
      <c r="U15" s="5">
        <v>5</v>
      </c>
      <c r="V15" s="5" t="s">
        <v>118</v>
      </c>
      <c r="W15" s="5" t="s">
        <v>653</v>
      </c>
      <c r="X15" s="5" t="s">
        <v>427</v>
      </c>
      <c r="Y15" s="5" t="s">
        <v>657</v>
      </c>
      <c r="Z15" s="5" t="s">
        <v>121</v>
      </c>
      <c r="AA15" s="5" t="s">
        <v>658</v>
      </c>
      <c r="AB15" s="5" t="s">
        <v>659</v>
      </c>
      <c r="AC15" s="5" t="s">
        <v>108</v>
      </c>
      <c r="AD15" s="5" t="s">
        <v>124</v>
      </c>
      <c r="AE15" s="5" t="s">
        <v>660</v>
      </c>
      <c r="AF15" s="5" t="s">
        <v>655</v>
      </c>
      <c r="AG15" s="5" t="s">
        <v>656</v>
      </c>
      <c r="AH15" s="5" t="s">
        <v>125</v>
      </c>
      <c r="AI15" s="5" t="s">
        <v>126</v>
      </c>
      <c r="AJ15" s="5" t="s">
        <v>271</v>
      </c>
      <c r="AK15" s="5" t="s">
        <v>271</v>
      </c>
      <c r="AL15" s="5" t="s">
        <v>128</v>
      </c>
      <c r="AM15" s="5" t="s">
        <v>129</v>
      </c>
      <c r="AN15" s="5" t="s">
        <v>661</v>
      </c>
      <c r="AO15" s="5" t="s">
        <v>661</v>
      </c>
      <c r="AP15" s="5" t="s">
        <v>662</v>
      </c>
      <c r="AQ15" s="5" t="s">
        <v>591</v>
      </c>
      <c r="AR15" s="5" t="s">
        <v>591</v>
      </c>
      <c r="AS15" s="5" t="s">
        <v>663</v>
      </c>
      <c r="AT15" s="5" t="s">
        <v>664</v>
      </c>
      <c r="AU15" s="5" t="s">
        <v>108</v>
      </c>
      <c r="AV15" s="5" t="s">
        <v>665</v>
      </c>
      <c r="AW15" s="5" t="s">
        <v>662</v>
      </c>
      <c r="AX15" s="5" t="s">
        <v>108</v>
      </c>
      <c r="AY15" s="5" t="s">
        <v>108</v>
      </c>
      <c r="AZ15" s="5" t="s">
        <v>659</v>
      </c>
      <c r="BA15" s="5" t="s">
        <v>666</v>
      </c>
      <c r="BB15" s="5" t="s">
        <v>659</v>
      </c>
      <c r="BC15" s="5" t="s">
        <v>108</v>
      </c>
      <c r="BD15" s="5" t="s">
        <v>667</v>
      </c>
      <c r="BE15" s="5" t="s">
        <v>668</v>
      </c>
      <c r="BF15" s="5" t="s">
        <v>669</v>
      </c>
      <c r="BG15" s="5" t="s">
        <v>670</v>
      </c>
      <c r="BH15" s="5" t="s">
        <v>660</v>
      </c>
      <c r="BI15" s="5" t="s">
        <v>671</v>
      </c>
      <c r="BJ15" s="5" t="s">
        <v>672</v>
      </c>
      <c r="BK15" s="5" t="s">
        <v>673</v>
      </c>
      <c r="BL15" s="5" t="s">
        <v>674</v>
      </c>
      <c r="BM15" s="5" t="s">
        <v>675</v>
      </c>
      <c r="BN15" s="5" t="s">
        <v>676</v>
      </c>
      <c r="BO15" s="5" t="s">
        <v>677</v>
      </c>
      <c r="BP15" s="5" t="s">
        <v>670</v>
      </c>
      <c r="BQ15" s="5" t="s">
        <v>667</v>
      </c>
      <c r="BR15" s="5" t="s">
        <v>678</v>
      </c>
      <c r="BS15" s="5">
        <v>3</v>
      </c>
      <c r="BT15" s="5" t="s">
        <v>660</v>
      </c>
      <c r="BU15" s="5">
        <v>2</v>
      </c>
      <c r="BV15" s="5" t="s">
        <v>108</v>
      </c>
      <c r="BW15" s="5" t="s">
        <v>666</v>
      </c>
      <c r="BX15" s="5" t="s">
        <v>191</v>
      </c>
      <c r="BY15" s="5" t="s">
        <v>679</v>
      </c>
      <c r="BZ15" s="5" t="s">
        <v>680</v>
      </c>
      <c r="CA15" s="5" t="s">
        <v>149</v>
      </c>
      <c r="CB15" s="5" t="s">
        <v>681</v>
      </c>
      <c r="CC15" s="5" t="s">
        <v>681</v>
      </c>
      <c r="CD15" s="5" t="s">
        <v>660</v>
      </c>
      <c r="CE15" s="5" t="s">
        <v>108</v>
      </c>
      <c r="CF15" s="5" t="s">
        <v>660</v>
      </c>
      <c r="CG15" s="5" t="s">
        <v>154</v>
      </c>
      <c r="CH15" s="5" t="s">
        <v>252</v>
      </c>
      <c r="CI15" s="5" t="s">
        <v>195</v>
      </c>
      <c r="CJ15" s="5" t="s">
        <v>386</v>
      </c>
      <c r="CK15" s="5" t="s">
        <v>271</v>
      </c>
      <c r="CL15" s="5" t="s">
        <v>108</v>
      </c>
      <c r="CM15" s="5">
        <f>IFERROR(VLOOKUP($A15,Quality_Appraisal!$A:$P,15,FALSE),"")</f>
        <v>21</v>
      </c>
      <c r="CN15" s="5" t="str">
        <f>IFERROR(VLOOKUP($A15,Quality_Appraisal!$A:$P,16,FALSE),"")</f>
        <v>Strong</v>
      </c>
      <c r="CO15" s="5" t="s">
        <v>156</v>
      </c>
      <c r="CP15" s="5" t="s">
        <v>455</v>
      </c>
      <c r="CQ15" s="5" t="s">
        <v>658</v>
      </c>
      <c r="CR15" s="5" t="s">
        <v>108</v>
      </c>
      <c r="CS15" s="5" t="s">
        <v>427</v>
      </c>
      <c r="CT15" s="5" t="s">
        <v>658</v>
      </c>
      <c r="CU15" s="5" t="s">
        <v>158</v>
      </c>
      <c r="CV15" s="5" t="s">
        <v>108</v>
      </c>
      <c r="CW15" s="5" t="s">
        <v>682</v>
      </c>
      <c r="CX15" s="5" t="s">
        <v>683</v>
      </c>
    </row>
    <row r="16" spans="1:102" ht="28.8" customHeight="1">
      <c r="A16" s="5" t="s">
        <v>684</v>
      </c>
      <c r="B16" s="5" t="s">
        <v>685</v>
      </c>
      <c r="C16" s="5" t="s">
        <v>686</v>
      </c>
      <c r="D16" s="5" t="s">
        <v>105</v>
      </c>
      <c r="E16" s="5" t="s">
        <v>106</v>
      </c>
      <c r="F16" s="5" t="s">
        <v>2693</v>
      </c>
      <c r="G16" s="5" t="s">
        <v>2740</v>
      </c>
      <c r="H16" s="5">
        <v>4</v>
      </c>
      <c r="I16" s="5" t="s">
        <v>109</v>
      </c>
      <c r="J16" s="5" t="s">
        <v>687</v>
      </c>
      <c r="K16" s="5" t="s">
        <v>688</v>
      </c>
      <c r="L16" s="5" t="s">
        <v>689</v>
      </c>
      <c r="M16" s="5" t="s">
        <v>112</v>
      </c>
      <c r="N16" s="5" t="s">
        <v>616</v>
      </c>
      <c r="O16" s="5" t="s">
        <v>690</v>
      </c>
      <c r="P16" s="5" t="s">
        <v>691</v>
      </c>
      <c r="Q16" s="5" t="s">
        <v>115</v>
      </c>
      <c r="R16" s="5" t="s">
        <v>692</v>
      </c>
      <c r="S16" s="5" t="s">
        <v>693</v>
      </c>
      <c r="T16" s="5" t="s">
        <v>117</v>
      </c>
      <c r="U16" s="5">
        <v>5</v>
      </c>
      <c r="V16" s="5" t="s">
        <v>118</v>
      </c>
      <c r="W16" s="5" t="s">
        <v>688</v>
      </c>
      <c r="X16" s="5" t="s">
        <v>583</v>
      </c>
      <c r="Y16" s="5" t="s">
        <v>694</v>
      </c>
      <c r="Z16" s="5" t="s">
        <v>121</v>
      </c>
      <c r="AA16" s="5" t="s">
        <v>695</v>
      </c>
      <c r="AB16" s="5" t="s">
        <v>696</v>
      </c>
      <c r="AC16" s="5" t="s">
        <v>108</v>
      </c>
      <c r="AD16" s="5" t="s">
        <v>697</v>
      </c>
      <c r="AE16" s="5" t="s">
        <v>108</v>
      </c>
      <c r="AF16" s="5" t="s">
        <v>692</v>
      </c>
      <c r="AG16" s="5" t="s">
        <v>693</v>
      </c>
      <c r="AH16" s="5" t="s">
        <v>217</v>
      </c>
      <c r="AI16" s="5" t="s">
        <v>218</v>
      </c>
      <c r="AJ16" s="5" t="s">
        <v>219</v>
      </c>
      <c r="AK16" s="5" t="s">
        <v>219</v>
      </c>
      <c r="AL16" s="5" t="s">
        <v>178</v>
      </c>
      <c r="AM16" s="5" t="s">
        <v>220</v>
      </c>
      <c r="AN16" s="5" t="s">
        <v>698</v>
      </c>
      <c r="AO16" s="5" t="s">
        <v>698</v>
      </c>
      <c r="AP16" s="5" t="s">
        <v>699</v>
      </c>
      <c r="AQ16" s="5" t="s">
        <v>108</v>
      </c>
      <c r="AR16" s="5" t="s">
        <v>697</v>
      </c>
      <c r="AS16" s="5" t="s">
        <v>108</v>
      </c>
      <c r="AT16" s="5" t="s">
        <v>108</v>
      </c>
      <c r="AU16" s="5" t="s">
        <v>108</v>
      </c>
      <c r="AV16" s="5" t="s">
        <v>108</v>
      </c>
      <c r="AW16" s="5" t="s">
        <v>699</v>
      </c>
      <c r="AX16" s="5" t="s">
        <v>700</v>
      </c>
      <c r="AY16" s="5" t="s">
        <v>108</v>
      </c>
      <c r="AZ16" s="5" t="s">
        <v>108</v>
      </c>
      <c r="BA16" s="5" t="s">
        <v>700</v>
      </c>
      <c r="BB16" s="5" t="s">
        <v>108</v>
      </c>
      <c r="BC16" s="5" t="s">
        <v>108</v>
      </c>
      <c r="BD16" s="5" t="s">
        <v>695</v>
      </c>
      <c r="BE16" s="5" t="s">
        <v>701</v>
      </c>
      <c r="BF16" s="5" t="s">
        <v>702</v>
      </c>
      <c r="BG16" s="5" t="s">
        <v>108</v>
      </c>
      <c r="BH16" s="5" t="s">
        <v>703</v>
      </c>
      <c r="BI16" s="5" t="s">
        <v>108</v>
      </c>
      <c r="BJ16" s="5" t="s">
        <v>704</v>
      </c>
      <c r="BK16" s="5" t="s">
        <v>108</v>
      </c>
      <c r="BL16" s="5" t="s">
        <v>705</v>
      </c>
      <c r="BM16" s="5" t="s">
        <v>108</v>
      </c>
      <c r="BN16" s="5" t="s">
        <v>706</v>
      </c>
      <c r="BO16" s="5" t="s">
        <v>707</v>
      </c>
      <c r="BP16" s="5" t="s">
        <v>703</v>
      </c>
      <c r="BQ16" s="5" t="s">
        <v>695</v>
      </c>
      <c r="BR16" s="5" t="s">
        <v>708</v>
      </c>
      <c r="BS16" s="5">
        <v>2</v>
      </c>
      <c r="BT16" s="5" t="s">
        <v>703</v>
      </c>
      <c r="BU16" s="5">
        <v>1</v>
      </c>
      <c r="BV16" s="5" t="s">
        <v>108</v>
      </c>
      <c r="BW16" s="5" t="s">
        <v>700</v>
      </c>
      <c r="BX16" s="5" t="s">
        <v>146</v>
      </c>
      <c r="BY16" s="5" t="s">
        <v>709</v>
      </c>
      <c r="BZ16" s="5" t="s">
        <v>108</v>
      </c>
      <c r="CA16" s="5" t="s">
        <v>193</v>
      </c>
      <c r="CB16" s="5" t="s">
        <v>108</v>
      </c>
      <c r="CC16" s="5" t="s">
        <v>108</v>
      </c>
      <c r="CD16" s="5" t="s">
        <v>703</v>
      </c>
      <c r="CE16" s="5" t="s">
        <v>108</v>
      </c>
      <c r="CF16" s="5" t="s">
        <v>703</v>
      </c>
      <c r="CG16" s="5" t="s">
        <v>252</v>
      </c>
      <c r="CH16" s="5" t="s">
        <v>386</v>
      </c>
      <c r="CI16" s="5" t="s">
        <v>710</v>
      </c>
      <c r="CJ16" s="5" t="s">
        <v>711</v>
      </c>
      <c r="CK16" s="5" t="s">
        <v>219</v>
      </c>
      <c r="CL16" s="5" t="s">
        <v>108</v>
      </c>
      <c r="CM16" s="5">
        <f>IFERROR(VLOOKUP($A16,Quality_Appraisal!$A:$P,15,FALSE),"")</f>
        <v>16</v>
      </c>
      <c r="CN16" s="5" t="str">
        <f>IFERROR(VLOOKUP($A16,Quality_Appraisal!$A:$P,16,FALSE),"")</f>
        <v>Moderate</v>
      </c>
      <c r="CO16" s="5" t="s">
        <v>156</v>
      </c>
      <c r="CP16" s="5" t="s">
        <v>455</v>
      </c>
      <c r="CQ16" s="5" t="s">
        <v>695</v>
      </c>
      <c r="CR16" s="5" t="s">
        <v>108</v>
      </c>
      <c r="CS16" s="5" t="s">
        <v>583</v>
      </c>
      <c r="CT16" s="5" t="s">
        <v>695</v>
      </c>
      <c r="CU16" s="5" t="s">
        <v>712</v>
      </c>
      <c r="CV16" s="5" t="s">
        <v>108</v>
      </c>
      <c r="CW16" s="5" t="s">
        <v>108</v>
      </c>
      <c r="CX16" s="5" t="s">
        <v>713</v>
      </c>
    </row>
    <row r="17" spans="1:102" ht="28.8" customHeight="1">
      <c r="A17" s="5" t="s">
        <v>714</v>
      </c>
      <c r="B17" s="5" t="s">
        <v>715</v>
      </c>
      <c r="C17" s="5" t="s">
        <v>716</v>
      </c>
      <c r="D17" s="5" t="s">
        <v>105</v>
      </c>
      <c r="E17" s="5" t="s">
        <v>106</v>
      </c>
      <c r="F17" s="5" t="s">
        <v>2693</v>
      </c>
      <c r="G17" s="5" t="s">
        <v>2740</v>
      </c>
      <c r="H17" s="5">
        <v>4</v>
      </c>
      <c r="I17" s="5" t="s">
        <v>109</v>
      </c>
      <c r="J17" s="5" t="s">
        <v>717</v>
      </c>
      <c r="K17" s="5" t="s">
        <v>718</v>
      </c>
      <c r="L17" s="5" t="s">
        <v>719</v>
      </c>
      <c r="M17" s="5" t="s">
        <v>112</v>
      </c>
      <c r="N17" s="5" t="s">
        <v>616</v>
      </c>
      <c r="O17" s="5" t="s">
        <v>720</v>
      </c>
      <c r="P17" s="5" t="s">
        <v>263</v>
      </c>
      <c r="Q17" s="5" t="s">
        <v>115</v>
      </c>
      <c r="R17" s="5" t="s">
        <v>721</v>
      </c>
      <c r="S17" s="5" t="s">
        <v>722</v>
      </c>
      <c r="T17" s="5" t="s">
        <v>117</v>
      </c>
      <c r="U17" s="5">
        <v>5</v>
      </c>
      <c r="V17" s="5" t="s">
        <v>118</v>
      </c>
      <c r="W17" s="5" t="s">
        <v>718</v>
      </c>
      <c r="X17" s="5" t="s">
        <v>583</v>
      </c>
      <c r="Y17" s="5" t="s">
        <v>723</v>
      </c>
      <c r="Z17" s="5" t="s">
        <v>121</v>
      </c>
      <c r="AA17" s="5" t="s">
        <v>724</v>
      </c>
      <c r="AB17" s="5" t="s">
        <v>725</v>
      </c>
      <c r="AC17" s="5" t="s">
        <v>725</v>
      </c>
      <c r="AD17" s="5" t="s">
        <v>546</v>
      </c>
      <c r="AE17" s="5" t="s">
        <v>726</v>
      </c>
      <c r="AF17" s="5" t="s">
        <v>721</v>
      </c>
      <c r="AG17" s="5" t="s">
        <v>722</v>
      </c>
      <c r="AH17" s="5" t="s">
        <v>175</v>
      </c>
      <c r="AI17" s="5" t="s">
        <v>357</v>
      </c>
      <c r="AJ17" s="5" t="s">
        <v>358</v>
      </c>
      <c r="AK17" s="5" t="s">
        <v>358</v>
      </c>
      <c r="AL17" s="5" t="s">
        <v>128</v>
      </c>
      <c r="AM17" s="5" t="s">
        <v>359</v>
      </c>
      <c r="AN17" s="5" t="s">
        <v>727</v>
      </c>
      <c r="AO17" s="5" t="s">
        <v>727</v>
      </c>
      <c r="AP17" s="5" t="s">
        <v>728</v>
      </c>
      <c r="AQ17" s="5" t="s">
        <v>729</v>
      </c>
      <c r="AR17" s="5" t="s">
        <v>729</v>
      </c>
      <c r="AS17" s="5" t="s">
        <v>730</v>
      </c>
      <c r="AT17" s="5" t="s">
        <v>108</v>
      </c>
      <c r="AU17" s="5" t="s">
        <v>731</v>
      </c>
      <c r="AV17" s="5" t="s">
        <v>732</v>
      </c>
      <c r="AW17" s="5" t="s">
        <v>728</v>
      </c>
      <c r="AX17" s="5" t="s">
        <v>733</v>
      </c>
      <c r="AY17" s="5" t="s">
        <v>108</v>
      </c>
      <c r="AZ17" s="5" t="s">
        <v>728</v>
      </c>
      <c r="BA17" s="5" t="s">
        <v>734</v>
      </c>
      <c r="BB17" s="5" t="s">
        <v>728</v>
      </c>
      <c r="BC17" s="5" t="s">
        <v>108</v>
      </c>
      <c r="BD17" s="5" t="s">
        <v>735</v>
      </c>
      <c r="BE17" s="5" t="s">
        <v>736</v>
      </c>
      <c r="BF17" s="5" t="s">
        <v>737</v>
      </c>
      <c r="BG17" s="5" t="s">
        <v>738</v>
      </c>
      <c r="BH17" s="5" t="s">
        <v>108</v>
      </c>
      <c r="BI17" s="5" t="s">
        <v>739</v>
      </c>
      <c r="BJ17" s="5" t="s">
        <v>740</v>
      </c>
      <c r="BK17" s="5" t="s">
        <v>108</v>
      </c>
      <c r="BL17" s="5" t="s">
        <v>741</v>
      </c>
      <c r="BM17" s="5" t="s">
        <v>742</v>
      </c>
      <c r="BN17" s="5" t="s">
        <v>743</v>
      </c>
      <c r="BO17" s="5" t="s">
        <v>744</v>
      </c>
      <c r="BP17" s="5" t="s">
        <v>745</v>
      </c>
      <c r="BQ17" s="5" t="s">
        <v>735</v>
      </c>
      <c r="BR17" s="5" t="s">
        <v>746</v>
      </c>
      <c r="BS17" s="5">
        <v>10</v>
      </c>
      <c r="BT17" s="5" t="s">
        <v>741</v>
      </c>
      <c r="BU17" s="5">
        <v>2</v>
      </c>
      <c r="BV17" s="5" t="s">
        <v>108</v>
      </c>
      <c r="BW17" s="5" t="s">
        <v>734</v>
      </c>
      <c r="BX17" s="5" t="s">
        <v>191</v>
      </c>
      <c r="BY17" s="5" t="s">
        <v>747</v>
      </c>
      <c r="BZ17" s="5" t="s">
        <v>748</v>
      </c>
      <c r="CA17" s="5" t="s">
        <v>248</v>
      </c>
      <c r="CB17" s="5" t="s">
        <v>749</v>
      </c>
      <c r="CC17" s="5" t="s">
        <v>749</v>
      </c>
      <c r="CD17" s="5" t="s">
        <v>750</v>
      </c>
      <c r="CE17" s="5" t="s">
        <v>108</v>
      </c>
      <c r="CF17" s="5" t="s">
        <v>108</v>
      </c>
      <c r="CG17" s="5" t="s">
        <v>252</v>
      </c>
      <c r="CH17" s="5" t="s">
        <v>710</v>
      </c>
      <c r="CI17" s="5" t="s">
        <v>155</v>
      </c>
      <c r="CJ17" s="5" t="s">
        <v>152</v>
      </c>
      <c r="CK17" s="5" t="s">
        <v>358</v>
      </c>
      <c r="CL17" s="5" t="s">
        <v>108</v>
      </c>
      <c r="CM17" s="5">
        <f>IFERROR(VLOOKUP($A17,Quality_Appraisal!$A:$P,15,FALSE),"")</f>
        <v>24</v>
      </c>
      <c r="CN17" s="5" t="str">
        <f>IFERROR(VLOOKUP($A17,Quality_Appraisal!$A:$P,16,FALSE),"")</f>
        <v>Strong</v>
      </c>
      <c r="CO17" s="5" t="s">
        <v>156</v>
      </c>
      <c r="CP17" s="5" t="s">
        <v>455</v>
      </c>
      <c r="CQ17" s="5" t="s">
        <v>724</v>
      </c>
      <c r="CR17" s="5" t="s">
        <v>108</v>
      </c>
      <c r="CS17" s="5" t="s">
        <v>583</v>
      </c>
      <c r="CT17" s="5" t="s">
        <v>724</v>
      </c>
      <c r="CU17" s="5" t="s">
        <v>253</v>
      </c>
      <c r="CV17" s="5" t="s">
        <v>108</v>
      </c>
      <c r="CW17" s="5" t="s">
        <v>751</v>
      </c>
      <c r="CX17" s="5" t="s">
        <v>752</v>
      </c>
    </row>
    <row r="18" spans="1:102" ht="28.8" customHeight="1">
      <c r="A18" s="5" t="s">
        <v>753</v>
      </c>
      <c r="B18" s="5" t="s">
        <v>754</v>
      </c>
      <c r="C18" s="5" t="s">
        <v>755</v>
      </c>
      <c r="D18" s="5" t="s">
        <v>105</v>
      </c>
      <c r="E18" s="5" t="s">
        <v>106</v>
      </c>
      <c r="F18" s="5" t="s">
        <v>2693</v>
      </c>
      <c r="G18" s="5" t="s">
        <v>2740</v>
      </c>
      <c r="H18" s="5">
        <v>4</v>
      </c>
      <c r="I18" s="5" t="s">
        <v>109</v>
      </c>
      <c r="J18" s="5" t="s">
        <v>108</v>
      </c>
      <c r="K18" s="5" t="s">
        <v>756</v>
      </c>
      <c r="L18" s="5" t="s">
        <v>757</v>
      </c>
      <c r="M18" s="5" t="s">
        <v>501</v>
      </c>
      <c r="N18" s="5" t="s">
        <v>108</v>
      </c>
      <c r="O18" s="5" t="s">
        <v>108</v>
      </c>
      <c r="P18" s="5" t="s">
        <v>108</v>
      </c>
      <c r="Q18" s="5" t="s">
        <v>115</v>
      </c>
      <c r="R18" s="5" t="s">
        <v>758</v>
      </c>
      <c r="S18" s="5" t="s">
        <v>759</v>
      </c>
      <c r="T18" s="5" t="s">
        <v>117</v>
      </c>
      <c r="U18" s="5">
        <v>5</v>
      </c>
      <c r="V18" s="5" t="s">
        <v>118</v>
      </c>
      <c r="W18" s="5" t="s">
        <v>756</v>
      </c>
      <c r="X18" s="5" t="s">
        <v>760</v>
      </c>
      <c r="Y18" s="5" t="s">
        <v>761</v>
      </c>
      <c r="Z18" s="5" t="s">
        <v>121</v>
      </c>
      <c r="AA18" s="5" t="s">
        <v>762</v>
      </c>
      <c r="AB18" s="5" t="s">
        <v>763</v>
      </c>
      <c r="AC18" s="5" t="s">
        <v>764</v>
      </c>
      <c r="AD18" s="5" t="s">
        <v>697</v>
      </c>
      <c r="AE18" s="5" t="s">
        <v>765</v>
      </c>
      <c r="AF18" s="5" t="s">
        <v>758</v>
      </c>
      <c r="AG18" s="5" t="s">
        <v>759</v>
      </c>
      <c r="AH18" s="5" t="s">
        <v>125</v>
      </c>
      <c r="AI18" s="5" t="s">
        <v>126</v>
      </c>
      <c r="AJ18" s="5" t="s">
        <v>314</v>
      </c>
      <c r="AK18" s="5" t="s">
        <v>108</v>
      </c>
      <c r="AL18" s="5" t="s">
        <v>315</v>
      </c>
      <c r="AM18" s="5" t="s">
        <v>108</v>
      </c>
      <c r="AN18" s="5" t="s">
        <v>766</v>
      </c>
      <c r="AO18" s="5" t="s">
        <v>766</v>
      </c>
      <c r="AP18" s="5" t="s">
        <v>767</v>
      </c>
      <c r="AQ18" s="5" t="s">
        <v>179</v>
      </c>
      <c r="AR18" s="5" t="s">
        <v>179</v>
      </c>
      <c r="AS18" s="5" t="s">
        <v>108</v>
      </c>
      <c r="AT18" s="5" t="s">
        <v>768</v>
      </c>
      <c r="AU18" s="5" t="s">
        <v>108</v>
      </c>
      <c r="AV18" s="5" t="s">
        <v>769</v>
      </c>
      <c r="AW18" s="5" t="s">
        <v>767</v>
      </c>
      <c r="AX18" s="5" t="s">
        <v>108</v>
      </c>
      <c r="AY18" s="5" t="s">
        <v>108</v>
      </c>
      <c r="AZ18" s="5" t="s">
        <v>767</v>
      </c>
      <c r="BA18" s="5" t="s">
        <v>108</v>
      </c>
      <c r="BB18" s="5" t="s">
        <v>770</v>
      </c>
      <c r="BC18" s="5" t="s">
        <v>771</v>
      </c>
      <c r="BD18" s="5" t="s">
        <v>772</v>
      </c>
      <c r="BE18" s="5" t="s">
        <v>773</v>
      </c>
      <c r="BF18" s="5" t="s">
        <v>774</v>
      </c>
      <c r="BG18" s="5" t="s">
        <v>108</v>
      </c>
      <c r="BH18" s="5" t="s">
        <v>775</v>
      </c>
      <c r="BI18" s="5" t="s">
        <v>765</v>
      </c>
      <c r="BJ18" s="5" t="s">
        <v>763</v>
      </c>
      <c r="BK18" s="5" t="s">
        <v>776</v>
      </c>
      <c r="BL18" s="5" t="s">
        <v>777</v>
      </c>
      <c r="BM18" s="5" t="s">
        <v>108</v>
      </c>
      <c r="BN18" s="5" t="s">
        <v>778</v>
      </c>
      <c r="BO18" s="5" t="s">
        <v>108</v>
      </c>
      <c r="BP18" s="5" t="s">
        <v>779</v>
      </c>
      <c r="BQ18" s="5" t="s">
        <v>772</v>
      </c>
      <c r="BR18" s="5" t="s">
        <v>780</v>
      </c>
      <c r="BS18" s="5">
        <v>4</v>
      </c>
      <c r="BT18" s="5" t="s">
        <v>781</v>
      </c>
      <c r="BU18" s="5">
        <v>5</v>
      </c>
      <c r="BV18" s="5" t="s">
        <v>108</v>
      </c>
      <c r="BW18" s="5" t="s">
        <v>108</v>
      </c>
      <c r="BX18" s="5" t="s">
        <v>191</v>
      </c>
      <c r="BY18" s="5" t="s">
        <v>415</v>
      </c>
      <c r="BZ18" s="5" t="s">
        <v>782</v>
      </c>
      <c r="CA18" s="5" t="s">
        <v>337</v>
      </c>
      <c r="CB18" s="5" t="s">
        <v>783</v>
      </c>
      <c r="CC18" s="5" t="s">
        <v>783</v>
      </c>
      <c r="CD18" s="5" t="s">
        <v>108</v>
      </c>
      <c r="CE18" s="5" t="s">
        <v>108</v>
      </c>
      <c r="CF18" s="5" t="s">
        <v>775</v>
      </c>
      <c r="CG18" s="5" t="s">
        <v>493</v>
      </c>
      <c r="CH18" s="5" t="s">
        <v>152</v>
      </c>
      <c r="CI18" s="5" t="s">
        <v>251</v>
      </c>
      <c r="CJ18" s="5" t="s">
        <v>569</v>
      </c>
      <c r="CK18" s="5" t="s">
        <v>108</v>
      </c>
      <c r="CL18" s="5" t="s">
        <v>569</v>
      </c>
      <c r="CM18" s="5">
        <f>IFERROR(VLOOKUP($A18,Quality_Appraisal!$A:$P,15,FALSE),"")</f>
        <v>20</v>
      </c>
      <c r="CN18" s="5" t="str">
        <f>IFERROR(VLOOKUP($A18,Quality_Appraisal!$A:$P,16,FALSE),"")</f>
        <v>Strong</v>
      </c>
      <c r="CO18" s="5" t="s">
        <v>156</v>
      </c>
      <c r="CP18" s="5" t="s">
        <v>455</v>
      </c>
      <c r="CQ18" s="5" t="s">
        <v>762</v>
      </c>
      <c r="CR18" s="5" t="s">
        <v>108</v>
      </c>
      <c r="CS18" s="5" t="s">
        <v>760</v>
      </c>
      <c r="CT18" s="5" t="s">
        <v>762</v>
      </c>
      <c r="CU18" s="5" t="s">
        <v>158</v>
      </c>
      <c r="CV18" s="5" t="s">
        <v>108</v>
      </c>
      <c r="CW18" s="5" t="s">
        <v>784</v>
      </c>
      <c r="CX18" s="5" t="s">
        <v>108</v>
      </c>
    </row>
    <row r="19" spans="1:102" ht="28.8" customHeight="1">
      <c r="A19" s="5" t="s">
        <v>785</v>
      </c>
      <c r="B19" s="5" t="s">
        <v>786</v>
      </c>
      <c r="C19" s="5" t="s">
        <v>787</v>
      </c>
      <c r="D19" s="5" t="s">
        <v>105</v>
      </c>
      <c r="E19" s="5" t="s">
        <v>106</v>
      </c>
      <c r="F19" s="5" t="s">
        <v>2693</v>
      </c>
      <c r="G19" s="5" t="s">
        <v>2740</v>
      </c>
      <c r="H19" s="5">
        <v>4</v>
      </c>
      <c r="I19" s="5" t="s">
        <v>109</v>
      </c>
      <c r="J19" s="5" t="s">
        <v>788</v>
      </c>
      <c r="K19" s="5" t="s">
        <v>789</v>
      </c>
      <c r="L19" s="5" t="s">
        <v>790</v>
      </c>
      <c r="M19" s="5" t="s">
        <v>791</v>
      </c>
      <c r="N19" s="5" t="s">
        <v>539</v>
      </c>
      <c r="O19" s="5" t="s">
        <v>792</v>
      </c>
      <c r="P19" s="5" t="s">
        <v>793</v>
      </c>
      <c r="Q19" s="5" t="s">
        <v>115</v>
      </c>
      <c r="R19" s="5" t="s">
        <v>794</v>
      </c>
      <c r="S19" s="5" t="s">
        <v>795</v>
      </c>
      <c r="T19" s="5" t="s">
        <v>117</v>
      </c>
      <c r="U19" s="5">
        <v>5</v>
      </c>
      <c r="V19" s="5" t="s">
        <v>118</v>
      </c>
      <c r="W19" s="5" t="s">
        <v>789</v>
      </c>
      <c r="X19" s="5" t="s">
        <v>583</v>
      </c>
      <c r="Y19" s="5" t="s">
        <v>796</v>
      </c>
      <c r="Z19" s="5" t="s">
        <v>121</v>
      </c>
      <c r="AA19" s="5" t="s">
        <v>797</v>
      </c>
      <c r="AB19" s="5" t="s">
        <v>798</v>
      </c>
      <c r="AC19" s="5" t="s">
        <v>798</v>
      </c>
      <c r="AD19" s="5" t="s">
        <v>546</v>
      </c>
      <c r="AE19" s="5" t="s">
        <v>799</v>
      </c>
      <c r="AF19" s="5" t="s">
        <v>794</v>
      </c>
      <c r="AG19" s="5" t="s">
        <v>795</v>
      </c>
      <c r="AH19" s="5" t="s">
        <v>217</v>
      </c>
      <c r="AI19" s="5" t="s">
        <v>218</v>
      </c>
      <c r="AJ19" s="5" t="s">
        <v>219</v>
      </c>
      <c r="AK19" s="5" t="s">
        <v>219</v>
      </c>
      <c r="AL19" s="5" t="s">
        <v>178</v>
      </c>
      <c r="AM19" s="5" t="s">
        <v>220</v>
      </c>
      <c r="AN19" s="5" t="s">
        <v>800</v>
      </c>
      <c r="AO19" s="5" t="s">
        <v>800</v>
      </c>
      <c r="AP19" s="5" t="s">
        <v>801</v>
      </c>
      <c r="AQ19" s="5" t="s">
        <v>627</v>
      </c>
      <c r="AR19" s="5" t="s">
        <v>627</v>
      </c>
      <c r="AS19" s="5" t="s">
        <v>802</v>
      </c>
      <c r="AT19" s="5" t="s">
        <v>803</v>
      </c>
      <c r="AU19" s="5" t="s">
        <v>804</v>
      </c>
      <c r="AV19" s="5" t="s">
        <v>805</v>
      </c>
      <c r="AW19" s="5" t="s">
        <v>801</v>
      </c>
      <c r="AX19" s="5" t="s">
        <v>806</v>
      </c>
      <c r="AY19" s="5" t="s">
        <v>108</v>
      </c>
      <c r="AZ19" s="5" t="s">
        <v>807</v>
      </c>
      <c r="BA19" s="5" t="s">
        <v>808</v>
      </c>
      <c r="BB19" s="5" t="s">
        <v>809</v>
      </c>
      <c r="BC19" s="5" t="s">
        <v>810</v>
      </c>
      <c r="BD19" s="5" t="s">
        <v>811</v>
      </c>
      <c r="BE19" s="5" t="s">
        <v>812</v>
      </c>
      <c r="BF19" s="5" t="s">
        <v>812</v>
      </c>
      <c r="BG19" s="5" t="s">
        <v>813</v>
      </c>
      <c r="BH19" s="5" t="s">
        <v>814</v>
      </c>
      <c r="BI19" s="5" t="s">
        <v>815</v>
      </c>
      <c r="BJ19" s="5" t="s">
        <v>816</v>
      </c>
      <c r="BK19" s="5" t="s">
        <v>817</v>
      </c>
      <c r="BL19" s="5" t="s">
        <v>818</v>
      </c>
      <c r="BM19" s="5" t="s">
        <v>819</v>
      </c>
      <c r="BN19" s="5" t="s">
        <v>820</v>
      </c>
      <c r="BO19" s="5" t="s">
        <v>821</v>
      </c>
      <c r="BP19" s="5" t="s">
        <v>822</v>
      </c>
      <c r="BQ19" s="5" t="s">
        <v>811</v>
      </c>
      <c r="BR19" s="5" t="s">
        <v>823</v>
      </c>
      <c r="BS19" s="5">
        <v>6</v>
      </c>
      <c r="BT19" s="5" t="s">
        <v>817</v>
      </c>
      <c r="BU19" s="5">
        <v>10</v>
      </c>
      <c r="BV19" s="5" t="s">
        <v>108</v>
      </c>
      <c r="BW19" s="5" t="s">
        <v>808</v>
      </c>
      <c r="BX19" s="5" t="s">
        <v>146</v>
      </c>
      <c r="BY19" s="5" t="s">
        <v>824</v>
      </c>
      <c r="BZ19" s="5" t="s">
        <v>825</v>
      </c>
      <c r="CA19" s="5" t="s">
        <v>248</v>
      </c>
      <c r="CB19" s="5" t="s">
        <v>826</v>
      </c>
      <c r="CC19" s="5" t="s">
        <v>826</v>
      </c>
      <c r="CD19" s="5" t="s">
        <v>827</v>
      </c>
      <c r="CE19" s="5" t="s">
        <v>108</v>
      </c>
      <c r="CF19" s="5" t="s">
        <v>814</v>
      </c>
      <c r="CG19" s="5" t="s">
        <v>252</v>
      </c>
      <c r="CH19" s="5" t="s">
        <v>154</v>
      </c>
      <c r="CI19" s="5" t="s">
        <v>340</v>
      </c>
      <c r="CJ19" s="5" t="s">
        <v>251</v>
      </c>
      <c r="CK19" s="5" t="s">
        <v>219</v>
      </c>
      <c r="CL19" s="5" t="s">
        <v>108</v>
      </c>
      <c r="CM19" s="5">
        <f>IFERROR(VLOOKUP($A19,Quality_Appraisal!$A:$P,15,FALSE),"")</f>
        <v>24</v>
      </c>
      <c r="CN19" s="5" t="str">
        <f>IFERROR(VLOOKUP($A19,Quality_Appraisal!$A:$P,16,FALSE),"")</f>
        <v>Strong</v>
      </c>
      <c r="CO19" s="5" t="s">
        <v>156</v>
      </c>
      <c r="CP19" s="5" t="s">
        <v>455</v>
      </c>
      <c r="CQ19" s="5" t="s">
        <v>797</v>
      </c>
      <c r="CR19" s="5" t="s">
        <v>108</v>
      </c>
      <c r="CS19" s="5" t="s">
        <v>583</v>
      </c>
      <c r="CT19" s="5" t="s">
        <v>797</v>
      </c>
      <c r="CU19" s="5" t="s">
        <v>253</v>
      </c>
      <c r="CV19" s="5" t="s">
        <v>108</v>
      </c>
      <c r="CW19" s="5" t="s">
        <v>828</v>
      </c>
      <c r="CX19" s="5" t="s">
        <v>829</v>
      </c>
    </row>
    <row r="20" spans="1:102" ht="28.8" customHeight="1">
      <c r="A20" s="5" t="s">
        <v>830</v>
      </c>
      <c r="B20" s="5" t="s">
        <v>831</v>
      </c>
      <c r="C20" s="5" t="s">
        <v>832</v>
      </c>
      <c r="D20" s="5" t="s">
        <v>105</v>
      </c>
      <c r="E20" s="5" t="s">
        <v>106</v>
      </c>
      <c r="F20" s="5" t="s">
        <v>2693</v>
      </c>
      <c r="G20" s="5" t="s">
        <v>2740</v>
      </c>
      <c r="H20" s="5">
        <v>4</v>
      </c>
      <c r="I20" s="5" t="s">
        <v>109</v>
      </c>
      <c r="J20" s="5" t="s">
        <v>833</v>
      </c>
      <c r="K20" s="5" t="s">
        <v>834</v>
      </c>
      <c r="L20" s="5" t="s">
        <v>835</v>
      </c>
      <c r="M20" s="5" t="s">
        <v>347</v>
      </c>
      <c r="N20" s="5" t="s">
        <v>108</v>
      </c>
      <c r="O20" s="5" t="s">
        <v>207</v>
      </c>
      <c r="P20" s="5" t="s">
        <v>208</v>
      </c>
      <c r="Q20" s="5" t="s">
        <v>115</v>
      </c>
      <c r="R20" s="5" t="s">
        <v>836</v>
      </c>
      <c r="S20" s="5" t="s">
        <v>837</v>
      </c>
      <c r="T20" s="5" t="s">
        <v>117</v>
      </c>
      <c r="U20" s="5">
        <v>5</v>
      </c>
      <c r="V20" s="5" t="s">
        <v>118</v>
      </c>
      <c r="W20" s="5" t="s">
        <v>834</v>
      </c>
      <c r="X20" s="5" t="s">
        <v>427</v>
      </c>
      <c r="Y20" s="5" t="s">
        <v>838</v>
      </c>
      <c r="Z20" s="5" t="s">
        <v>121</v>
      </c>
      <c r="AA20" s="5" t="s">
        <v>839</v>
      </c>
      <c r="AB20" s="5" t="s">
        <v>840</v>
      </c>
      <c r="AC20" s="5" t="s">
        <v>840</v>
      </c>
      <c r="AD20" s="5" t="s">
        <v>697</v>
      </c>
      <c r="AE20" s="5" t="s">
        <v>841</v>
      </c>
      <c r="AF20" s="5" t="s">
        <v>836</v>
      </c>
      <c r="AG20" s="5" t="s">
        <v>837</v>
      </c>
      <c r="AH20" s="5" t="s">
        <v>125</v>
      </c>
      <c r="AI20" s="5" t="s">
        <v>126</v>
      </c>
      <c r="AJ20" s="5" t="s">
        <v>314</v>
      </c>
      <c r="AK20" s="5" t="s">
        <v>108</v>
      </c>
      <c r="AL20" s="5" t="s">
        <v>315</v>
      </c>
      <c r="AM20" s="5" t="s">
        <v>108</v>
      </c>
      <c r="AN20" s="5" t="s">
        <v>842</v>
      </c>
      <c r="AO20" s="5" t="s">
        <v>842</v>
      </c>
      <c r="AP20" s="5" t="s">
        <v>843</v>
      </c>
      <c r="AQ20" s="5" t="s">
        <v>108</v>
      </c>
      <c r="AR20" s="5" t="s">
        <v>697</v>
      </c>
      <c r="AS20" s="5" t="s">
        <v>844</v>
      </c>
      <c r="AT20" s="5" t="s">
        <v>845</v>
      </c>
      <c r="AU20" s="5" t="s">
        <v>108</v>
      </c>
      <c r="AV20" s="5" t="s">
        <v>846</v>
      </c>
      <c r="AW20" s="5" t="s">
        <v>843</v>
      </c>
      <c r="AX20" s="5" t="s">
        <v>108</v>
      </c>
      <c r="AY20" s="5" t="s">
        <v>108</v>
      </c>
      <c r="AZ20" s="5" t="s">
        <v>847</v>
      </c>
      <c r="BA20" s="5" t="s">
        <v>848</v>
      </c>
      <c r="BB20" s="5" t="s">
        <v>849</v>
      </c>
      <c r="BC20" s="5" t="s">
        <v>850</v>
      </c>
      <c r="BD20" s="5" t="s">
        <v>851</v>
      </c>
      <c r="BE20" s="5" t="s">
        <v>852</v>
      </c>
      <c r="BF20" s="5" t="s">
        <v>853</v>
      </c>
      <c r="BG20" s="5" t="s">
        <v>854</v>
      </c>
      <c r="BH20" s="5" t="s">
        <v>855</v>
      </c>
      <c r="BI20" s="5" t="s">
        <v>856</v>
      </c>
      <c r="BJ20" s="5" t="s">
        <v>857</v>
      </c>
      <c r="BK20" s="5" t="s">
        <v>858</v>
      </c>
      <c r="BL20" s="5" t="s">
        <v>845</v>
      </c>
      <c r="BM20" s="5" t="s">
        <v>859</v>
      </c>
      <c r="BN20" s="5" t="s">
        <v>860</v>
      </c>
      <c r="BO20" s="5" t="s">
        <v>849</v>
      </c>
      <c r="BP20" s="5" t="s">
        <v>861</v>
      </c>
      <c r="BQ20" s="5" t="s">
        <v>851</v>
      </c>
      <c r="BR20" s="5" t="s">
        <v>840</v>
      </c>
      <c r="BS20" s="5">
        <v>1</v>
      </c>
      <c r="BT20" s="5" t="s">
        <v>859</v>
      </c>
      <c r="BU20" s="5">
        <v>1</v>
      </c>
      <c r="BV20" s="5" t="s">
        <v>108</v>
      </c>
      <c r="BW20" s="5" t="s">
        <v>848</v>
      </c>
      <c r="BX20" s="5" t="s">
        <v>191</v>
      </c>
      <c r="BY20" s="5" t="s">
        <v>862</v>
      </c>
      <c r="BZ20" s="5" t="s">
        <v>863</v>
      </c>
      <c r="CA20" s="5" t="s">
        <v>337</v>
      </c>
      <c r="CB20" s="5" t="s">
        <v>864</v>
      </c>
      <c r="CC20" s="5" t="s">
        <v>864</v>
      </c>
      <c r="CD20" s="5" t="s">
        <v>840</v>
      </c>
      <c r="CE20" s="5" t="s">
        <v>108</v>
      </c>
      <c r="CF20" s="5" t="s">
        <v>855</v>
      </c>
      <c r="CG20" s="5" t="s">
        <v>154</v>
      </c>
      <c r="CH20" s="5" t="s">
        <v>155</v>
      </c>
      <c r="CI20" s="5" t="s">
        <v>251</v>
      </c>
      <c r="CJ20" s="5" t="s">
        <v>152</v>
      </c>
      <c r="CK20" s="5" t="s">
        <v>108</v>
      </c>
      <c r="CL20" s="5" t="s">
        <v>108</v>
      </c>
      <c r="CM20" s="5">
        <f>IFERROR(VLOOKUP($A20,Quality_Appraisal!$A:$P,15,FALSE),"")</f>
        <v>20</v>
      </c>
      <c r="CN20" s="5" t="str">
        <f>IFERROR(VLOOKUP($A20,Quality_Appraisal!$A:$P,16,FALSE),"")</f>
        <v>Strong</v>
      </c>
      <c r="CO20" s="5" t="s">
        <v>156</v>
      </c>
      <c r="CP20" s="5" t="s">
        <v>455</v>
      </c>
      <c r="CQ20" s="5" t="s">
        <v>839</v>
      </c>
      <c r="CR20" s="5" t="s">
        <v>108</v>
      </c>
      <c r="CS20" s="5" t="s">
        <v>427</v>
      </c>
      <c r="CT20" s="5" t="s">
        <v>839</v>
      </c>
      <c r="CU20" s="5" t="s">
        <v>158</v>
      </c>
      <c r="CV20" s="5" t="s">
        <v>108</v>
      </c>
      <c r="CW20" s="5" t="s">
        <v>865</v>
      </c>
      <c r="CX20" s="5" t="s">
        <v>866</v>
      </c>
    </row>
    <row r="21" spans="1:102" ht="28.8" customHeight="1">
      <c r="A21" s="5" t="s">
        <v>867</v>
      </c>
      <c r="B21" s="5" t="s">
        <v>868</v>
      </c>
      <c r="C21" s="5" t="s">
        <v>869</v>
      </c>
      <c r="D21" s="5" t="s">
        <v>105</v>
      </c>
      <c r="E21" s="5" t="s">
        <v>106</v>
      </c>
      <c r="F21" s="5" t="s">
        <v>2693</v>
      </c>
      <c r="G21" s="5" t="s">
        <v>2740</v>
      </c>
      <c r="H21" s="5">
        <v>4</v>
      </c>
      <c r="I21" s="5" t="s">
        <v>109</v>
      </c>
      <c r="J21" s="5" t="s">
        <v>108</v>
      </c>
      <c r="K21" s="5" t="s">
        <v>870</v>
      </c>
      <c r="L21" s="5" t="s">
        <v>871</v>
      </c>
      <c r="M21" s="5" t="s">
        <v>347</v>
      </c>
      <c r="N21" s="5" t="s">
        <v>113</v>
      </c>
      <c r="O21" s="5" t="s">
        <v>872</v>
      </c>
      <c r="P21" s="5" t="s">
        <v>108</v>
      </c>
      <c r="Q21" s="5" t="s">
        <v>115</v>
      </c>
      <c r="R21" s="5" t="s">
        <v>108</v>
      </c>
      <c r="S21" s="5" t="s">
        <v>873</v>
      </c>
      <c r="T21" s="5" t="s">
        <v>117</v>
      </c>
      <c r="U21" s="5">
        <v>5</v>
      </c>
      <c r="V21" s="5" t="s">
        <v>118</v>
      </c>
      <c r="W21" s="5" t="s">
        <v>870</v>
      </c>
      <c r="X21" s="5" t="s">
        <v>168</v>
      </c>
      <c r="Y21" s="5" t="s">
        <v>874</v>
      </c>
      <c r="Z21" s="5" t="s">
        <v>121</v>
      </c>
      <c r="AA21" s="5" t="s">
        <v>875</v>
      </c>
      <c r="AB21" s="5" t="s">
        <v>876</v>
      </c>
      <c r="AC21" s="5" t="s">
        <v>108</v>
      </c>
      <c r="AD21" s="5" t="s">
        <v>508</v>
      </c>
      <c r="AE21" s="5" t="s">
        <v>877</v>
      </c>
      <c r="AF21" s="5" t="s">
        <v>508</v>
      </c>
      <c r="AG21" s="5" t="s">
        <v>873</v>
      </c>
      <c r="AH21" s="5" t="s">
        <v>175</v>
      </c>
      <c r="AI21" s="5" t="s">
        <v>176</v>
      </c>
      <c r="AJ21" s="5" t="s">
        <v>398</v>
      </c>
      <c r="AK21" s="5" t="s">
        <v>398</v>
      </c>
      <c r="AL21" s="5" t="s">
        <v>128</v>
      </c>
      <c r="AM21" s="5" t="s">
        <v>108</v>
      </c>
      <c r="AN21" s="5" t="s">
        <v>766</v>
      </c>
      <c r="AO21" s="5" t="s">
        <v>766</v>
      </c>
      <c r="AP21" s="5" t="s">
        <v>878</v>
      </c>
      <c r="AQ21" s="5" t="s">
        <v>879</v>
      </c>
      <c r="AR21" s="5" t="s">
        <v>879</v>
      </c>
      <c r="AS21" s="5" t="s">
        <v>108</v>
      </c>
      <c r="AT21" s="5" t="s">
        <v>880</v>
      </c>
      <c r="AU21" s="5" t="s">
        <v>108</v>
      </c>
      <c r="AV21" s="5" t="s">
        <v>108</v>
      </c>
      <c r="AW21" s="5" t="s">
        <v>878</v>
      </c>
      <c r="AX21" s="5" t="s">
        <v>108</v>
      </c>
      <c r="AY21" s="5" t="s">
        <v>108</v>
      </c>
      <c r="AZ21" s="5" t="s">
        <v>878</v>
      </c>
      <c r="BA21" s="5" t="s">
        <v>108</v>
      </c>
      <c r="BB21" s="5" t="s">
        <v>881</v>
      </c>
      <c r="BC21" s="5" t="s">
        <v>108</v>
      </c>
      <c r="BD21" s="5" t="s">
        <v>875</v>
      </c>
      <c r="BE21" s="5" t="s">
        <v>882</v>
      </c>
      <c r="BF21" s="5" t="s">
        <v>883</v>
      </c>
      <c r="BG21" s="5" t="s">
        <v>884</v>
      </c>
      <c r="BH21" s="5" t="s">
        <v>108</v>
      </c>
      <c r="BI21" s="5" t="s">
        <v>885</v>
      </c>
      <c r="BJ21" s="5" t="s">
        <v>886</v>
      </c>
      <c r="BK21" s="5" t="s">
        <v>108</v>
      </c>
      <c r="BL21" s="5" t="s">
        <v>108</v>
      </c>
      <c r="BM21" s="5" t="s">
        <v>887</v>
      </c>
      <c r="BN21" s="5" t="s">
        <v>888</v>
      </c>
      <c r="BO21" s="5" t="s">
        <v>108</v>
      </c>
      <c r="BP21" s="5" t="s">
        <v>889</v>
      </c>
      <c r="BQ21" s="5" t="s">
        <v>875</v>
      </c>
      <c r="BR21" s="5" t="s">
        <v>881</v>
      </c>
      <c r="BS21" s="5">
        <v>1</v>
      </c>
      <c r="BT21" s="5" t="s">
        <v>890</v>
      </c>
      <c r="BU21" s="5">
        <v>2</v>
      </c>
      <c r="BV21" s="5" t="s">
        <v>108</v>
      </c>
      <c r="BW21" s="5" t="s">
        <v>108</v>
      </c>
      <c r="BX21" s="5" t="s">
        <v>191</v>
      </c>
      <c r="BY21" s="5" t="s">
        <v>644</v>
      </c>
      <c r="BZ21" s="5" t="s">
        <v>891</v>
      </c>
      <c r="CA21" s="5" t="s">
        <v>149</v>
      </c>
      <c r="CB21" s="5" t="s">
        <v>892</v>
      </c>
      <c r="CC21" s="5" t="s">
        <v>892</v>
      </c>
      <c r="CD21" s="5" t="s">
        <v>893</v>
      </c>
      <c r="CE21" s="5" t="s">
        <v>108</v>
      </c>
      <c r="CF21" s="5" t="s">
        <v>108</v>
      </c>
      <c r="CG21" s="5" t="s">
        <v>194</v>
      </c>
      <c r="CH21" s="5" t="s">
        <v>154</v>
      </c>
      <c r="CI21" s="5" t="s">
        <v>152</v>
      </c>
      <c r="CJ21" s="5" t="s">
        <v>493</v>
      </c>
      <c r="CK21" s="5" t="s">
        <v>398</v>
      </c>
      <c r="CL21" s="5" t="s">
        <v>108</v>
      </c>
      <c r="CM21" s="5">
        <f>IFERROR(VLOOKUP($A21,Quality_Appraisal!$A:$P,15,FALSE),"")</f>
        <v>20</v>
      </c>
      <c r="CN21" s="5" t="str">
        <f>IFERROR(VLOOKUP($A21,Quality_Appraisal!$A:$P,16,FALSE),"")</f>
        <v>Strong</v>
      </c>
      <c r="CO21" s="5" t="s">
        <v>156</v>
      </c>
      <c r="CP21" s="5" t="s">
        <v>196</v>
      </c>
      <c r="CQ21" s="5" t="s">
        <v>875</v>
      </c>
      <c r="CR21" s="5" t="s">
        <v>108</v>
      </c>
      <c r="CS21" s="5" t="s">
        <v>168</v>
      </c>
      <c r="CT21" s="5" t="s">
        <v>875</v>
      </c>
      <c r="CU21" s="5" t="s">
        <v>158</v>
      </c>
      <c r="CV21" s="5" t="s">
        <v>108</v>
      </c>
      <c r="CW21" s="5" t="s">
        <v>894</v>
      </c>
      <c r="CX21" s="5" t="s">
        <v>108</v>
      </c>
    </row>
    <row r="22" spans="1:102" ht="28.8" customHeight="1">
      <c r="A22" s="5" t="s">
        <v>895</v>
      </c>
      <c r="B22" s="5" t="s">
        <v>896</v>
      </c>
      <c r="C22" s="5" t="s">
        <v>897</v>
      </c>
      <c r="D22" s="5" t="s">
        <v>105</v>
      </c>
      <c r="E22" s="5" t="s">
        <v>106</v>
      </c>
      <c r="F22" s="5" t="s">
        <v>2693</v>
      </c>
      <c r="G22" s="5" t="s">
        <v>2740</v>
      </c>
      <c r="H22" s="5">
        <v>4</v>
      </c>
      <c r="I22" s="5" t="s">
        <v>109</v>
      </c>
      <c r="J22" s="5" t="s">
        <v>108</v>
      </c>
      <c r="K22" s="5" t="s">
        <v>898</v>
      </c>
      <c r="L22" s="5" t="s">
        <v>899</v>
      </c>
      <c r="M22" s="5" t="s">
        <v>112</v>
      </c>
      <c r="N22" s="5" t="s">
        <v>113</v>
      </c>
      <c r="O22" s="5" t="s">
        <v>900</v>
      </c>
      <c r="P22" s="5" t="s">
        <v>349</v>
      </c>
      <c r="Q22" s="5" t="s">
        <v>115</v>
      </c>
      <c r="R22" s="5" t="s">
        <v>901</v>
      </c>
      <c r="S22" s="5" t="s">
        <v>902</v>
      </c>
      <c r="T22" s="5" t="s">
        <v>117</v>
      </c>
      <c r="U22" s="5">
        <v>5</v>
      </c>
      <c r="V22" s="5" t="s">
        <v>118</v>
      </c>
      <c r="W22" s="5" t="s">
        <v>898</v>
      </c>
      <c r="X22" s="5" t="s">
        <v>119</v>
      </c>
      <c r="Y22" s="5" t="s">
        <v>903</v>
      </c>
      <c r="Z22" s="5" t="s">
        <v>121</v>
      </c>
      <c r="AA22" s="5" t="s">
        <v>904</v>
      </c>
      <c r="AB22" s="5" t="s">
        <v>905</v>
      </c>
      <c r="AC22" s="5" t="s">
        <v>108</v>
      </c>
      <c r="AD22" s="5" t="s">
        <v>906</v>
      </c>
      <c r="AE22" s="5" t="s">
        <v>907</v>
      </c>
      <c r="AF22" s="5" t="s">
        <v>901</v>
      </c>
      <c r="AG22" s="5" t="s">
        <v>902</v>
      </c>
      <c r="AH22" s="5" t="s">
        <v>125</v>
      </c>
      <c r="AI22" s="5" t="s">
        <v>126</v>
      </c>
      <c r="AJ22" s="5" t="s">
        <v>314</v>
      </c>
      <c r="AK22" s="5" t="s">
        <v>108</v>
      </c>
      <c r="AL22" s="5" t="s">
        <v>315</v>
      </c>
      <c r="AM22" s="5" t="s">
        <v>108</v>
      </c>
      <c r="AN22" s="5" t="s">
        <v>272</v>
      </c>
      <c r="AO22" s="5" t="s">
        <v>272</v>
      </c>
      <c r="AP22" s="5" t="s">
        <v>908</v>
      </c>
      <c r="AQ22" s="5" t="s">
        <v>909</v>
      </c>
      <c r="AR22" s="5" t="s">
        <v>909</v>
      </c>
      <c r="AS22" s="5" t="s">
        <v>910</v>
      </c>
      <c r="AT22" s="5" t="s">
        <v>911</v>
      </c>
      <c r="AU22" s="5" t="s">
        <v>108</v>
      </c>
      <c r="AV22" s="5" t="s">
        <v>912</v>
      </c>
      <c r="AW22" s="5" t="s">
        <v>908</v>
      </c>
      <c r="AX22" s="5" t="s">
        <v>108</v>
      </c>
      <c r="AY22" s="5" t="s">
        <v>108</v>
      </c>
      <c r="AZ22" s="5" t="s">
        <v>913</v>
      </c>
      <c r="BA22" s="5" t="s">
        <v>914</v>
      </c>
      <c r="BB22" s="5" t="s">
        <v>915</v>
      </c>
      <c r="BC22" s="5" t="s">
        <v>916</v>
      </c>
      <c r="BD22" s="5" t="s">
        <v>917</v>
      </c>
      <c r="BE22" s="5" t="s">
        <v>918</v>
      </c>
      <c r="BF22" s="5" t="s">
        <v>919</v>
      </c>
      <c r="BG22" s="5" t="s">
        <v>920</v>
      </c>
      <c r="BH22" s="5" t="s">
        <v>921</v>
      </c>
      <c r="BI22" s="5" t="s">
        <v>922</v>
      </c>
      <c r="BJ22" s="5" t="s">
        <v>923</v>
      </c>
      <c r="BK22" s="5" t="s">
        <v>924</v>
      </c>
      <c r="BL22" s="5" t="s">
        <v>915</v>
      </c>
      <c r="BM22" s="5" t="s">
        <v>925</v>
      </c>
      <c r="BN22" s="5" t="s">
        <v>926</v>
      </c>
      <c r="BO22" s="5" t="s">
        <v>925</v>
      </c>
      <c r="BP22" s="5" t="s">
        <v>927</v>
      </c>
      <c r="BQ22" s="5" t="s">
        <v>917</v>
      </c>
      <c r="BR22" s="5" t="s">
        <v>928</v>
      </c>
      <c r="BS22" s="5">
        <v>1</v>
      </c>
      <c r="BT22" s="5" t="s">
        <v>929</v>
      </c>
      <c r="BU22" s="5">
        <v>2</v>
      </c>
      <c r="BV22" s="5" t="s">
        <v>108</v>
      </c>
      <c r="BW22" s="5" t="s">
        <v>914</v>
      </c>
      <c r="BX22" s="5" t="s">
        <v>191</v>
      </c>
      <c r="BY22" s="5" t="s">
        <v>930</v>
      </c>
      <c r="BZ22" s="5" t="s">
        <v>931</v>
      </c>
      <c r="CA22" s="5" t="s">
        <v>337</v>
      </c>
      <c r="CB22" s="5" t="s">
        <v>932</v>
      </c>
      <c r="CC22" s="5" t="s">
        <v>932</v>
      </c>
      <c r="CD22" s="5" t="s">
        <v>933</v>
      </c>
      <c r="CE22" s="5" t="s">
        <v>108</v>
      </c>
      <c r="CF22" s="5" t="s">
        <v>921</v>
      </c>
      <c r="CG22" s="5" t="s">
        <v>152</v>
      </c>
      <c r="CH22" s="5" t="s">
        <v>154</v>
      </c>
      <c r="CI22" s="5" t="s">
        <v>153</v>
      </c>
      <c r="CJ22" s="5" t="s">
        <v>493</v>
      </c>
      <c r="CK22" s="5" t="s">
        <v>108</v>
      </c>
      <c r="CL22" s="5" t="s">
        <v>108</v>
      </c>
      <c r="CM22" s="5">
        <f>IFERROR(VLOOKUP($A22,Quality_Appraisal!$A:$P,15,FALSE),"")</f>
        <v>20</v>
      </c>
      <c r="CN22" s="5" t="str">
        <f>IFERROR(VLOOKUP($A22,Quality_Appraisal!$A:$P,16,FALSE),"")</f>
        <v>Strong</v>
      </c>
      <c r="CO22" s="5" t="s">
        <v>156</v>
      </c>
      <c r="CP22" s="5" t="s">
        <v>157</v>
      </c>
      <c r="CQ22" s="5" t="s">
        <v>904</v>
      </c>
      <c r="CR22" s="5" t="s">
        <v>108</v>
      </c>
      <c r="CS22" s="5" t="s">
        <v>119</v>
      </c>
      <c r="CT22" s="5" t="s">
        <v>904</v>
      </c>
      <c r="CU22" s="5" t="s">
        <v>158</v>
      </c>
      <c r="CV22" s="5" t="s">
        <v>108</v>
      </c>
      <c r="CW22" s="5" t="s">
        <v>934</v>
      </c>
      <c r="CX22" s="5" t="s">
        <v>108</v>
      </c>
    </row>
    <row r="23" spans="1:102" ht="28.8" customHeight="1">
      <c r="A23" s="5" t="s">
        <v>935</v>
      </c>
      <c r="B23" s="5" t="s">
        <v>936</v>
      </c>
      <c r="C23" s="5" t="s">
        <v>937</v>
      </c>
      <c r="D23" s="5" t="s">
        <v>105</v>
      </c>
      <c r="E23" s="5" t="s">
        <v>106</v>
      </c>
      <c r="F23" s="5" t="s">
        <v>2693</v>
      </c>
      <c r="G23" s="5" t="s">
        <v>2740</v>
      </c>
      <c r="H23" s="5">
        <v>4</v>
      </c>
      <c r="I23" s="5" t="s">
        <v>109</v>
      </c>
      <c r="J23" s="5" t="s">
        <v>938</v>
      </c>
      <c r="K23" s="5" t="s">
        <v>939</v>
      </c>
      <c r="L23" s="5" t="s">
        <v>940</v>
      </c>
      <c r="M23" s="5" t="s">
        <v>941</v>
      </c>
      <c r="N23" s="5" t="s">
        <v>113</v>
      </c>
      <c r="O23" s="5" t="s">
        <v>942</v>
      </c>
      <c r="P23" s="5" t="s">
        <v>263</v>
      </c>
      <c r="Q23" s="5" t="s">
        <v>115</v>
      </c>
      <c r="R23" s="5" t="s">
        <v>943</v>
      </c>
      <c r="S23" s="5" t="s">
        <v>944</v>
      </c>
      <c r="T23" s="5" t="s">
        <v>117</v>
      </c>
      <c r="U23" s="5">
        <v>5</v>
      </c>
      <c r="V23" s="5" t="s">
        <v>118</v>
      </c>
      <c r="W23" s="5" t="s">
        <v>939</v>
      </c>
      <c r="X23" s="5" t="s">
        <v>119</v>
      </c>
      <c r="Y23" s="5" t="s">
        <v>945</v>
      </c>
      <c r="Z23" s="5" t="s">
        <v>121</v>
      </c>
      <c r="AA23" s="5" t="s">
        <v>946</v>
      </c>
      <c r="AB23" s="5" t="s">
        <v>947</v>
      </c>
      <c r="AC23" s="5" t="s">
        <v>948</v>
      </c>
      <c r="AD23" s="5" t="s">
        <v>173</v>
      </c>
      <c r="AE23" s="5" t="s">
        <v>949</v>
      </c>
      <c r="AF23" s="5" t="s">
        <v>943</v>
      </c>
      <c r="AG23" s="5" t="s">
        <v>944</v>
      </c>
      <c r="AH23" s="5" t="s">
        <v>175</v>
      </c>
      <c r="AI23" s="5" t="s">
        <v>357</v>
      </c>
      <c r="AJ23" s="5" t="s">
        <v>950</v>
      </c>
      <c r="AK23" s="5" t="s">
        <v>950</v>
      </c>
      <c r="AL23" s="5" t="s">
        <v>128</v>
      </c>
      <c r="AM23" s="5" t="s">
        <v>359</v>
      </c>
      <c r="AN23" s="5" t="s">
        <v>951</v>
      </c>
      <c r="AO23" s="5" t="s">
        <v>951</v>
      </c>
      <c r="AP23" s="5" t="s">
        <v>948</v>
      </c>
      <c r="AQ23" s="5" t="s">
        <v>511</v>
      </c>
      <c r="AR23" s="5" t="s">
        <v>511</v>
      </c>
      <c r="AS23" s="5" t="s">
        <v>952</v>
      </c>
      <c r="AT23" s="5" t="s">
        <v>953</v>
      </c>
      <c r="AU23" s="5" t="s">
        <v>954</v>
      </c>
      <c r="AV23" s="5" t="s">
        <v>955</v>
      </c>
      <c r="AW23" s="5" t="s">
        <v>948</v>
      </c>
      <c r="AX23" s="5" t="s">
        <v>108</v>
      </c>
      <c r="AY23" s="5" t="s">
        <v>108</v>
      </c>
      <c r="AZ23" s="5" t="s">
        <v>956</v>
      </c>
      <c r="BA23" s="5" t="s">
        <v>957</v>
      </c>
      <c r="BB23" s="5" t="s">
        <v>958</v>
      </c>
      <c r="BC23" s="5" t="s">
        <v>108</v>
      </c>
      <c r="BD23" s="5" t="s">
        <v>946</v>
      </c>
      <c r="BE23" s="5" t="s">
        <v>959</v>
      </c>
      <c r="BF23" s="5" t="s">
        <v>960</v>
      </c>
      <c r="BG23" s="5" t="s">
        <v>108</v>
      </c>
      <c r="BH23" s="5" t="s">
        <v>108</v>
      </c>
      <c r="BI23" s="5" t="s">
        <v>961</v>
      </c>
      <c r="BJ23" s="5" t="s">
        <v>962</v>
      </c>
      <c r="BK23" s="5" t="s">
        <v>108</v>
      </c>
      <c r="BL23" s="5" t="s">
        <v>963</v>
      </c>
      <c r="BM23" s="5" t="s">
        <v>964</v>
      </c>
      <c r="BN23" s="5" t="s">
        <v>965</v>
      </c>
      <c r="BO23" s="5" t="s">
        <v>966</v>
      </c>
      <c r="BP23" s="5" t="s">
        <v>955</v>
      </c>
      <c r="BQ23" s="5" t="s">
        <v>946</v>
      </c>
      <c r="BR23" s="5" t="s">
        <v>967</v>
      </c>
      <c r="BS23" s="5">
        <v>2</v>
      </c>
      <c r="BT23" s="5" t="s">
        <v>968</v>
      </c>
      <c r="BU23" s="5">
        <v>2</v>
      </c>
      <c r="BV23" s="5" t="s">
        <v>108</v>
      </c>
      <c r="BW23" s="5" t="s">
        <v>957</v>
      </c>
      <c r="BX23" s="5" t="s">
        <v>191</v>
      </c>
      <c r="BY23" s="5" t="s">
        <v>969</v>
      </c>
      <c r="BZ23" s="5" t="s">
        <v>970</v>
      </c>
      <c r="CA23" s="5" t="s">
        <v>248</v>
      </c>
      <c r="CB23" s="5" t="s">
        <v>971</v>
      </c>
      <c r="CC23" s="5" t="s">
        <v>971</v>
      </c>
      <c r="CD23" s="5" t="s">
        <v>972</v>
      </c>
      <c r="CE23" s="5" t="s">
        <v>108</v>
      </c>
      <c r="CF23" s="5" t="s">
        <v>108</v>
      </c>
      <c r="CG23" s="5" t="s">
        <v>152</v>
      </c>
      <c r="CH23" s="5" t="s">
        <v>194</v>
      </c>
      <c r="CI23" s="5" t="s">
        <v>154</v>
      </c>
      <c r="CJ23" s="5" t="s">
        <v>251</v>
      </c>
      <c r="CK23" s="5" t="s">
        <v>950</v>
      </c>
      <c r="CL23" s="5" t="s">
        <v>108</v>
      </c>
      <c r="CM23" s="5">
        <f>IFERROR(VLOOKUP($A23,Quality_Appraisal!$A:$P,15,FALSE),"")</f>
        <v>22</v>
      </c>
      <c r="CN23" s="5" t="str">
        <f>IFERROR(VLOOKUP($A23,Quality_Appraisal!$A:$P,16,FALSE),"")</f>
        <v>Strong</v>
      </c>
      <c r="CO23" s="5" t="s">
        <v>156</v>
      </c>
      <c r="CP23" s="5" t="s">
        <v>157</v>
      </c>
      <c r="CQ23" s="5" t="s">
        <v>946</v>
      </c>
      <c r="CR23" s="5" t="s">
        <v>108</v>
      </c>
      <c r="CS23" s="5" t="s">
        <v>119</v>
      </c>
      <c r="CT23" s="5" t="s">
        <v>946</v>
      </c>
      <c r="CU23" s="5" t="s">
        <v>253</v>
      </c>
      <c r="CV23" s="5" t="s">
        <v>108</v>
      </c>
      <c r="CW23" s="5" t="s">
        <v>973</v>
      </c>
      <c r="CX23" s="5" t="s">
        <v>974</v>
      </c>
    </row>
    <row r="24" spans="1:102" ht="28.8" customHeight="1">
      <c r="A24" s="5" t="s">
        <v>975</v>
      </c>
      <c r="B24" s="5" t="s">
        <v>976</v>
      </c>
      <c r="C24" s="5" t="s">
        <v>977</v>
      </c>
      <c r="D24" s="5" t="s">
        <v>105</v>
      </c>
      <c r="E24" s="5" t="s">
        <v>106</v>
      </c>
      <c r="F24" s="5" t="s">
        <v>2693</v>
      </c>
      <c r="G24" s="5" t="s">
        <v>2740</v>
      </c>
      <c r="H24" s="5">
        <v>4</v>
      </c>
      <c r="I24" s="5" t="s">
        <v>109</v>
      </c>
      <c r="J24" s="5" t="s">
        <v>978</v>
      </c>
      <c r="K24" s="5" t="s">
        <v>979</v>
      </c>
      <c r="L24" s="5" t="s">
        <v>980</v>
      </c>
      <c r="M24" s="5" t="s">
        <v>941</v>
      </c>
      <c r="N24" s="5" t="s">
        <v>616</v>
      </c>
      <c r="O24" s="5" t="s">
        <v>981</v>
      </c>
      <c r="P24" s="5" t="s">
        <v>263</v>
      </c>
      <c r="Q24" s="5" t="s">
        <v>115</v>
      </c>
      <c r="R24" s="5" t="s">
        <v>982</v>
      </c>
      <c r="S24" s="5" t="s">
        <v>983</v>
      </c>
      <c r="T24" s="5" t="s">
        <v>117</v>
      </c>
      <c r="U24" s="5">
        <v>5</v>
      </c>
      <c r="V24" s="5" t="s">
        <v>118</v>
      </c>
      <c r="W24" s="5" t="s">
        <v>979</v>
      </c>
      <c r="X24" s="5" t="s">
        <v>427</v>
      </c>
      <c r="Y24" s="5" t="s">
        <v>984</v>
      </c>
      <c r="Z24" s="5" t="s">
        <v>121</v>
      </c>
      <c r="AA24" s="5" t="s">
        <v>985</v>
      </c>
      <c r="AB24" s="5" t="s">
        <v>986</v>
      </c>
      <c r="AC24" s="5" t="s">
        <v>986</v>
      </c>
      <c r="AD24" s="5" t="s">
        <v>987</v>
      </c>
      <c r="AE24" s="5" t="s">
        <v>988</v>
      </c>
      <c r="AF24" s="5" t="s">
        <v>982</v>
      </c>
      <c r="AG24" s="5" t="s">
        <v>983</v>
      </c>
      <c r="AH24" s="5" t="s">
        <v>175</v>
      </c>
      <c r="AI24" s="5" t="s">
        <v>357</v>
      </c>
      <c r="AJ24" s="5" t="s">
        <v>950</v>
      </c>
      <c r="AK24" s="5" t="s">
        <v>950</v>
      </c>
      <c r="AL24" s="5" t="s">
        <v>128</v>
      </c>
      <c r="AM24" s="5" t="s">
        <v>359</v>
      </c>
      <c r="AN24" s="5" t="s">
        <v>989</v>
      </c>
      <c r="AO24" s="5" t="s">
        <v>989</v>
      </c>
      <c r="AP24" s="5" t="s">
        <v>990</v>
      </c>
      <c r="AQ24" s="5" t="s">
        <v>108</v>
      </c>
      <c r="AR24" s="5" t="s">
        <v>987</v>
      </c>
      <c r="AS24" s="5" t="s">
        <v>991</v>
      </c>
      <c r="AT24" s="5" t="s">
        <v>992</v>
      </c>
      <c r="AU24" s="5" t="s">
        <v>993</v>
      </c>
      <c r="AV24" s="5" t="s">
        <v>994</v>
      </c>
      <c r="AW24" s="5" t="s">
        <v>990</v>
      </c>
      <c r="AX24" s="5" t="s">
        <v>108</v>
      </c>
      <c r="AY24" s="5" t="s">
        <v>108</v>
      </c>
      <c r="AZ24" s="5" t="s">
        <v>995</v>
      </c>
      <c r="BA24" s="5" t="s">
        <v>996</v>
      </c>
      <c r="BB24" s="5" t="s">
        <v>986</v>
      </c>
      <c r="BC24" s="5" t="s">
        <v>997</v>
      </c>
      <c r="BD24" s="5" t="s">
        <v>998</v>
      </c>
      <c r="BE24" s="5" t="s">
        <v>999</v>
      </c>
      <c r="BF24" s="5" t="s">
        <v>1000</v>
      </c>
      <c r="BG24" s="5" t="s">
        <v>1001</v>
      </c>
      <c r="BH24" s="5" t="s">
        <v>1002</v>
      </c>
      <c r="BI24" s="5" t="s">
        <v>1003</v>
      </c>
      <c r="BJ24" s="5" t="s">
        <v>1004</v>
      </c>
      <c r="BK24" s="5" t="s">
        <v>1005</v>
      </c>
      <c r="BL24" s="5" t="s">
        <v>1006</v>
      </c>
      <c r="BM24" s="5" t="s">
        <v>1007</v>
      </c>
      <c r="BN24" s="5" t="s">
        <v>1008</v>
      </c>
      <c r="BO24" s="5" t="s">
        <v>1009</v>
      </c>
      <c r="BP24" s="5" t="s">
        <v>1010</v>
      </c>
      <c r="BQ24" s="5" t="s">
        <v>998</v>
      </c>
      <c r="BR24" s="5" t="s">
        <v>1011</v>
      </c>
      <c r="BS24" s="5">
        <v>4</v>
      </c>
      <c r="BT24" s="5" t="s">
        <v>1012</v>
      </c>
      <c r="BU24" s="5">
        <v>2</v>
      </c>
      <c r="BV24" s="5" t="s">
        <v>108</v>
      </c>
      <c r="BW24" s="5" t="s">
        <v>996</v>
      </c>
      <c r="BX24" s="5" t="s">
        <v>191</v>
      </c>
      <c r="BY24" s="5" t="s">
        <v>1013</v>
      </c>
      <c r="BZ24" s="5" t="s">
        <v>1014</v>
      </c>
      <c r="CA24" s="5" t="s">
        <v>248</v>
      </c>
      <c r="CB24" s="5" t="s">
        <v>1015</v>
      </c>
      <c r="CC24" s="5" t="s">
        <v>1015</v>
      </c>
      <c r="CD24" s="5" t="s">
        <v>1002</v>
      </c>
      <c r="CE24" s="5" t="s">
        <v>108</v>
      </c>
      <c r="CF24" s="5" t="s">
        <v>1002</v>
      </c>
      <c r="CG24" s="5" t="s">
        <v>154</v>
      </c>
      <c r="CH24" s="5" t="s">
        <v>252</v>
      </c>
      <c r="CI24" s="5" t="s">
        <v>155</v>
      </c>
      <c r="CJ24" s="5" t="s">
        <v>251</v>
      </c>
      <c r="CK24" s="5" t="s">
        <v>950</v>
      </c>
      <c r="CL24" s="5" t="s">
        <v>108</v>
      </c>
      <c r="CM24" s="5">
        <f>IFERROR(VLOOKUP($A24,Quality_Appraisal!$A:$P,15,FALSE),"")</f>
        <v>24</v>
      </c>
      <c r="CN24" s="5" t="str">
        <f>IFERROR(VLOOKUP($A24,Quality_Appraisal!$A:$P,16,FALSE),"")</f>
        <v>Strong</v>
      </c>
      <c r="CO24" s="5" t="s">
        <v>156</v>
      </c>
      <c r="CP24" s="5" t="s">
        <v>455</v>
      </c>
      <c r="CQ24" s="5" t="s">
        <v>985</v>
      </c>
      <c r="CR24" s="5" t="s">
        <v>108</v>
      </c>
      <c r="CS24" s="5" t="s">
        <v>427</v>
      </c>
      <c r="CT24" s="5" t="s">
        <v>985</v>
      </c>
      <c r="CU24" s="5" t="s">
        <v>253</v>
      </c>
      <c r="CV24" s="5" t="s">
        <v>108</v>
      </c>
      <c r="CW24" s="5" t="s">
        <v>1016</v>
      </c>
      <c r="CX24" s="5" t="s">
        <v>1017</v>
      </c>
    </row>
    <row r="25" spans="1:102" ht="28.8" customHeight="1">
      <c r="A25" s="5" t="s">
        <v>1018</v>
      </c>
      <c r="B25" s="5" t="s">
        <v>1019</v>
      </c>
      <c r="C25" s="5" t="s">
        <v>1020</v>
      </c>
      <c r="D25" s="5" t="s">
        <v>105</v>
      </c>
      <c r="E25" s="5" t="s">
        <v>106</v>
      </c>
      <c r="F25" s="5" t="s">
        <v>2693</v>
      </c>
      <c r="G25" s="5" t="s">
        <v>2740</v>
      </c>
      <c r="H25" s="5">
        <v>4</v>
      </c>
      <c r="I25" s="5" t="s">
        <v>109</v>
      </c>
      <c r="J25" s="5" t="s">
        <v>1021</v>
      </c>
      <c r="K25" s="5" t="s">
        <v>1022</v>
      </c>
      <c r="L25" s="5" t="s">
        <v>1023</v>
      </c>
      <c r="M25" s="5" t="s">
        <v>941</v>
      </c>
      <c r="N25" s="5" t="s">
        <v>539</v>
      </c>
      <c r="O25" s="5" t="s">
        <v>1024</v>
      </c>
      <c r="P25" s="5" t="s">
        <v>108</v>
      </c>
      <c r="Q25" s="5" t="s">
        <v>115</v>
      </c>
      <c r="R25" s="5" t="s">
        <v>1025</v>
      </c>
      <c r="S25" s="5" t="s">
        <v>1026</v>
      </c>
      <c r="T25" s="5" t="s">
        <v>117</v>
      </c>
      <c r="U25" s="5">
        <v>5</v>
      </c>
      <c r="V25" s="5" t="s">
        <v>118</v>
      </c>
      <c r="W25" s="5" t="s">
        <v>1022</v>
      </c>
      <c r="X25" s="5" t="s">
        <v>427</v>
      </c>
      <c r="Y25" s="5" t="s">
        <v>1027</v>
      </c>
      <c r="Z25" s="5" t="s">
        <v>121</v>
      </c>
      <c r="AA25" s="5" t="s">
        <v>1028</v>
      </c>
      <c r="AB25" s="5" t="s">
        <v>1029</v>
      </c>
      <c r="AC25" s="5" t="s">
        <v>1030</v>
      </c>
      <c r="AD25" s="5" t="s">
        <v>312</v>
      </c>
      <c r="AE25" s="5" t="s">
        <v>1031</v>
      </c>
      <c r="AF25" s="5" t="s">
        <v>1025</v>
      </c>
      <c r="AG25" s="5" t="s">
        <v>1026</v>
      </c>
      <c r="AH25" s="5" t="s">
        <v>175</v>
      </c>
      <c r="AI25" s="5" t="s">
        <v>357</v>
      </c>
      <c r="AJ25" s="5" t="s">
        <v>358</v>
      </c>
      <c r="AK25" s="5" t="s">
        <v>358</v>
      </c>
      <c r="AL25" s="5" t="s">
        <v>128</v>
      </c>
      <c r="AM25" s="5" t="s">
        <v>359</v>
      </c>
      <c r="AN25" s="5" t="s">
        <v>1032</v>
      </c>
      <c r="AO25" s="5" t="s">
        <v>1032</v>
      </c>
      <c r="AP25" s="5" t="s">
        <v>1033</v>
      </c>
      <c r="AQ25" s="5" t="s">
        <v>108</v>
      </c>
      <c r="AR25" s="5" t="s">
        <v>312</v>
      </c>
      <c r="AS25" s="5" t="s">
        <v>1034</v>
      </c>
      <c r="AT25" s="5" t="s">
        <v>1035</v>
      </c>
      <c r="AU25" s="5" t="s">
        <v>1036</v>
      </c>
      <c r="AV25" s="5" t="s">
        <v>1037</v>
      </c>
      <c r="AW25" s="5" t="s">
        <v>1033</v>
      </c>
      <c r="AX25" s="5" t="s">
        <v>108</v>
      </c>
      <c r="AY25" s="5" t="s">
        <v>108</v>
      </c>
      <c r="AZ25" s="5" t="s">
        <v>1038</v>
      </c>
      <c r="BA25" s="5" t="s">
        <v>1039</v>
      </c>
      <c r="BB25" s="5" t="s">
        <v>1040</v>
      </c>
      <c r="BC25" s="5" t="s">
        <v>1040</v>
      </c>
      <c r="BD25" s="5" t="s">
        <v>1041</v>
      </c>
      <c r="BE25" s="5" t="s">
        <v>1042</v>
      </c>
      <c r="BF25" s="5" t="s">
        <v>1043</v>
      </c>
      <c r="BG25" s="5" t="s">
        <v>108</v>
      </c>
      <c r="BH25" s="5" t="s">
        <v>1044</v>
      </c>
      <c r="BI25" s="5" t="s">
        <v>1045</v>
      </c>
      <c r="BJ25" s="5" t="s">
        <v>1046</v>
      </c>
      <c r="BK25" s="5" t="s">
        <v>1047</v>
      </c>
      <c r="BL25" s="5" t="s">
        <v>1048</v>
      </c>
      <c r="BM25" s="5" t="s">
        <v>1049</v>
      </c>
      <c r="BN25" s="5" t="s">
        <v>1050</v>
      </c>
      <c r="BO25" s="5" t="s">
        <v>1051</v>
      </c>
      <c r="BP25" s="5" t="s">
        <v>1052</v>
      </c>
      <c r="BQ25" s="5" t="s">
        <v>1041</v>
      </c>
      <c r="BR25" s="5" t="s">
        <v>1053</v>
      </c>
      <c r="BS25" s="5">
        <v>2</v>
      </c>
      <c r="BT25" s="5" t="s">
        <v>1054</v>
      </c>
      <c r="BU25" s="5">
        <v>3</v>
      </c>
      <c r="BV25" s="5" t="s">
        <v>108</v>
      </c>
      <c r="BW25" s="5" t="s">
        <v>1039</v>
      </c>
      <c r="BX25" s="5" t="s">
        <v>191</v>
      </c>
      <c r="BY25" s="5" t="s">
        <v>1055</v>
      </c>
      <c r="BZ25" s="5" t="s">
        <v>1056</v>
      </c>
      <c r="CA25" s="5" t="s">
        <v>248</v>
      </c>
      <c r="CB25" s="5" t="s">
        <v>1057</v>
      </c>
      <c r="CC25" s="5" t="s">
        <v>1057</v>
      </c>
      <c r="CD25" s="5" t="s">
        <v>1040</v>
      </c>
      <c r="CE25" s="5" t="s">
        <v>108</v>
      </c>
      <c r="CF25" s="5" t="s">
        <v>1044</v>
      </c>
      <c r="CG25" s="5" t="s">
        <v>154</v>
      </c>
      <c r="CH25" s="5" t="s">
        <v>251</v>
      </c>
      <c r="CI25" s="5" t="s">
        <v>155</v>
      </c>
      <c r="CJ25" s="5" t="s">
        <v>530</v>
      </c>
      <c r="CK25" s="5" t="s">
        <v>358</v>
      </c>
      <c r="CL25" s="5" t="s">
        <v>108</v>
      </c>
      <c r="CM25" s="5">
        <f>IFERROR(VLOOKUP($A25,Quality_Appraisal!$A:$P,15,FALSE),"")</f>
        <v>24</v>
      </c>
      <c r="CN25" s="5" t="str">
        <f>IFERROR(VLOOKUP($A25,Quality_Appraisal!$A:$P,16,FALSE),"")</f>
        <v>Strong</v>
      </c>
      <c r="CO25" s="5" t="s">
        <v>156</v>
      </c>
      <c r="CP25" s="5" t="s">
        <v>455</v>
      </c>
      <c r="CQ25" s="5" t="s">
        <v>1028</v>
      </c>
      <c r="CR25" s="5" t="s">
        <v>108</v>
      </c>
      <c r="CS25" s="5" t="s">
        <v>427</v>
      </c>
      <c r="CT25" s="5" t="s">
        <v>1028</v>
      </c>
      <c r="CU25" s="5" t="s">
        <v>253</v>
      </c>
      <c r="CV25" s="5" t="s">
        <v>108</v>
      </c>
      <c r="CW25" s="5" t="s">
        <v>1058</v>
      </c>
      <c r="CX25" s="5" t="s">
        <v>1059</v>
      </c>
    </row>
    <row r="26" spans="1:102" ht="28.8" customHeight="1">
      <c r="A26" s="5" t="s">
        <v>1060</v>
      </c>
      <c r="B26" s="5" t="s">
        <v>1061</v>
      </c>
      <c r="C26" s="5" t="s">
        <v>1062</v>
      </c>
      <c r="D26" s="5" t="s">
        <v>105</v>
      </c>
      <c r="E26" s="5" t="s">
        <v>106</v>
      </c>
      <c r="F26" s="5" t="s">
        <v>2693</v>
      </c>
      <c r="G26" s="5" t="s">
        <v>2740</v>
      </c>
      <c r="H26" s="5">
        <v>4</v>
      </c>
      <c r="I26" s="5" t="s">
        <v>109</v>
      </c>
      <c r="J26" s="5" t="s">
        <v>1063</v>
      </c>
      <c r="K26" s="5" t="s">
        <v>1064</v>
      </c>
      <c r="L26" s="5" t="s">
        <v>1065</v>
      </c>
      <c r="M26" s="5" t="s">
        <v>791</v>
      </c>
      <c r="N26" s="5" t="s">
        <v>206</v>
      </c>
      <c r="O26" s="5" t="s">
        <v>1066</v>
      </c>
      <c r="P26" s="5" t="s">
        <v>691</v>
      </c>
      <c r="Q26" s="5" t="s">
        <v>115</v>
      </c>
      <c r="R26" s="5" t="s">
        <v>1067</v>
      </c>
      <c r="S26" s="5" t="s">
        <v>1068</v>
      </c>
      <c r="T26" s="5" t="s">
        <v>117</v>
      </c>
      <c r="U26" s="5">
        <v>5</v>
      </c>
      <c r="V26" s="5" t="s">
        <v>118</v>
      </c>
      <c r="W26" s="5" t="s">
        <v>1064</v>
      </c>
      <c r="X26" s="5" t="s">
        <v>427</v>
      </c>
      <c r="Y26" s="5" t="s">
        <v>1069</v>
      </c>
      <c r="Z26" s="5" t="s">
        <v>121</v>
      </c>
      <c r="AA26" s="5" t="s">
        <v>1070</v>
      </c>
      <c r="AB26" s="5" t="s">
        <v>1071</v>
      </c>
      <c r="AC26" s="5" t="s">
        <v>1072</v>
      </c>
      <c r="AD26" s="5" t="s">
        <v>697</v>
      </c>
      <c r="AE26" s="5" t="s">
        <v>1073</v>
      </c>
      <c r="AF26" s="5" t="s">
        <v>1067</v>
      </c>
      <c r="AG26" s="5" t="s">
        <v>1068</v>
      </c>
      <c r="AH26" s="5" t="s">
        <v>175</v>
      </c>
      <c r="AI26" s="5" t="s">
        <v>357</v>
      </c>
      <c r="AJ26" s="5" t="s">
        <v>358</v>
      </c>
      <c r="AK26" s="5" t="s">
        <v>358</v>
      </c>
      <c r="AL26" s="5" t="s">
        <v>128</v>
      </c>
      <c r="AM26" s="5" t="s">
        <v>359</v>
      </c>
      <c r="AN26" s="5" t="s">
        <v>1074</v>
      </c>
      <c r="AO26" s="5" t="s">
        <v>1074</v>
      </c>
      <c r="AP26" s="5" t="s">
        <v>1075</v>
      </c>
      <c r="AQ26" s="5" t="s">
        <v>472</v>
      </c>
      <c r="AR26" s="5" t="s">
        <v>472</v>
      </c>
      <c r="AS26" s="5" t="s">
        <v>1076</v>
      </c>
      <c r="AT26" s="5" t="s">
        <v>1077</v>
      </c>
      <c r="AU26" s="5" t="s">
        <v>1078</v>
      </c>
      <c r="AV26" s="5" t="s">
        <v>1079</v>
      </c>
      <c r="AW26" s="5" t="s">
        <v>1075</v>
      </c>
      <c r="AX26" s="5" t="s">
        <v>1080</v>
      </c>
      <c r="AY26" s="5" t="s">
        <v>108</v>
      </c>
      <c r="AZ26" s="5" t="s">
        <v>1081</v>
      </c>
      <c r="BA26" s="5" t="s">
        <v>1082</v>
      </c>
      <c r="BB26" s="5" t="s">
        <v>1080</v>
      </c>
      <c r="BC26" s="5" t="s">
        <v>108</v>
      </c>
      <c r="BD26" s="5" t="s">
        <v>1083</v>
      </c>
      <c r="BE26" s="5" t="s">
        <v>1084</v>
      </c>
      <c r="BF26" s="5" t="s">
        <v>1085</v>
      </c>
      <c r="BG26" s="5" t="s">
        <v>1086</v>
      </c>
      <c r="BH26" s="5" t="s">
        <v>1073</v>
      </c>
      <c r="BI26" s="5" t="s">
        <v>1087</v>
      </c>
      <c r="BJ26" s="5" t="s">
        <v>1088</v>
      </c>
      <c r="BK26" s="5" t="s">
        <v>1089</v>
      </c>
      <c r="BL26" s="5" t="s">
        <v>1090</v>
      </c>
      <c r="BM26" s="5" t="s">
        <v>1091</v>
      </c>
      <c r="BN26" s="5" t="s">
        <v>1081</v>
      </c>
      <c r="BO26" s="5" t="s">
        <v>1092</v>
      </c>
      <c r="BP26" s="5" t="s">
        <v>1093</v>
      </c>
      <c r="BQ26" s="5" t="s">
        <v>1083</v>
      </c>
      <c r="BR26" s="5" t="s">
        <v>1094</v>
      </c>
      <c r="BS26" s="5">
        <v>2</v>
      </c>
      <c r="BT26" s="5" t="s">
        <v>1095</v>
      </c>
      <c r="BU26" s="5">
        <v>10</v>
      </c>
      <c r="BV26" s="5" t="s">
        <v>108</v>
      </c>
      <c r="BW26" s="5" t="s">
        <v>1082</v>
      </c>
      <c r="BX26" s="5" t="s">
        <v>191</v>
      </c>
      <c r="BY26" s="5" t="s">
        <v>1096</v>
      </c>
      <c r="BZ26" s="5" t="s">
        <v>1097</v>
      </c>
      <c r="CA26" s="5" t="s">
        <v>248</v>
      </c>
      <c r="CB26" s="5" t="s">
        <v>1098</v>
      </c>
      <c r="CC26" s="5" t="s">
        <v>1098</v>
      </c>
      <c r="CD26" s="5" t="s">
        <v>1073</v>
      </c>
      <c r="CE26" s="5" t="s">
        <v>108</v>
      </c>
      <c r="CF26" s="5" t="s">
        <v>1073</v>
      </c>
      <c r="CG26" s="5" t="s">
        <v>154</v>
      </c>
      <c r="CH26" s="5" t="s">
        <v>152</v>
      </c>
      <c r="CI26" s="5" t="s">
        <v>252</v>
      </c>
      <c r="CJ26" s="5" t="s">
        <v>1099</v>
      </c>
      <c r="CK26" s="5" t="s">
        <v>358</v>
      </c>
      <c r="CL26" s="5" t="s">
        <v>108</v>
      </c>
      <c r="CM26" s="5">
        <f>IFERROR(VLOOKUP($A26,Quality_Appraisal!$A:$P,15,FALSE),"")</f>
        <v>22</v>
      </c>
      <c r="CN26" s="5" t="str">
        <f>IFERROR(VLOOKUP($A26,Quality_Appraisal!$A:$P,16,FALSE),"")</f>
        <v>Strong</v>
      </c>
      <c r="CO26" s="5" t="s">
        <v>156</v>
      </c>
      <c r="CP26" s="5" t="s">
        <v>455</v>
      </c>
      <c r="CQ26" s="5" t="s">
        <v>1070</v>
      </c>
      <c r="CR26" s="5" t="s">
        <v>108</v>
      </c>
      <c r="CS26" s="5" t="s">
        <v>427</v>
      </c>
      <c r="CT26" s="5" t="s">
        <v>1070</v>
      </c>
      <c r="CU26" s="5" t="s">
        <v>253</v>
      </c>
      <c r="CV26" s="5" t="s">
        <v>108</v>
      </c>
      <c r="CW26" s="5" t="s">
        <v>1100</v>
      </c>
      <c r="CX26" s="5" t="s">
        <v>1101</v>
      </c>
    </row>
    <row r="27" spans="1:102" ht="28.8" customHeight="1">
      <c r="A27" s="5" t="s">
        <v>1102</v>
      </c>
      <c r="B27" s="5" t="s">
        <v>1103</v>
      </c>
      <c r="C27" s="5" t="s">
        <v>1104</v>
      </c>
      <c r="D27" s="5" t="s">
        <v>105</v>
      </c>
      <c r="E27" s="5" t="s">
        <v>106</v>
      </c>
      <c r="F27" s="5" t="s">
        <v>2693</v>
      </c>
      <c r="G27" s="5" t="s">
        <v>2740</v>
      </c>
      <c r="H27" s="5">
        <v>4</v>
      </c>
      <c r="I27" s="5" t="s">
        <v>109</v>
      </c>
      <c r="J27" s="5" t="s">
        <v>1105</v>
      </c>
      <c r="K27" s="5" t="s">
        <v>1106</v>
      </c>
      <c r="L27" s="5" t="s">
        <v>1107</v>
      </c>
      <c r="M27" s="5" t="s">
        <v>1108</v>
      </c>
      <c r="N27" s="5" t="s">
        <v>108</v>
      </c>
      <c r="O27" s="5" t="s">
        <v>1109</v>
      </c>
      <c r="P27" s="5" t="s">
        <v>263</v>
      </c>
      <c r="Q27" s="5" t="s">
        <v>115</v>
      </c>
      <c r="R27" s="5" t="s">
        <v>1110</v>
      </c>
      <c r="S27" s="5" t="s">
        <v>1111</v>
      </c>
      <c r="T27" s="5" t="s">
        <v>117</v>
      </c>
      <c r="U27" s="5">
        <v>5</v>
      </c>
      <c r="V27" s="5" t="s">
        <v>118</v>
      </c>
      <c r="W27" s="5" t="s">
        <v>1106</v>
      </c>
      <c r="X27" s="5" t="s">
        <v>427</v>
      </c>
      <c r="Y27" s="5" t="s">
        <v>1112</v>
      </c>
      <c r="Z27" s="5" t="s">
        <v>121</v>
      </c>
      <c r="AA27" s="5" t="s">
        <v>1113</v>
      </c>
      <c r="AB27" s="5" t="s">
        <v>1114</v>
      </c>
      <c r="AC27" s="5" t="s">
        <v>108</v>
      </c>
      <c r="AD27" s="5" t="s">
        <v>124</v>
      </c>
      <c r="AE27" s="5" t="s">
        <v>1115</v>
      </c>
      <c r="AF27" s="5" t="s">
        <v>1110</v>
      </c>
      <c r="AG27" s="5" t="s">
        <v>1111</v>
      </c>
      <c r="AH27" s="5" t="s">
        <v>175</v>
      </c>
      <c r="AI27" s="5" t="s">
        <v>357</v>
      </c>
      <c r="AJ27" s="5" t="s">
        <v>358</v>
      </c>
      <c r="AK27" s="5" t="s">
        <v>358</v>
      </c>
      <c r="AL27" s="5" t="s">
        <v>128</v>
      </c>
      <c r="AM27" s="5" t="s">
        <v>359</v>
      </c>
      <c r="AN27" s="5" t="s">
        <v>1116</v>
      </c>
      <c r="AO27" s="5" t="s">
        <v>1116</v>
      </c>
      <c r="AP27" s="5" t="s">
        <v>1117</v>
      </c>
      <c r="AQ27" s="5" t="s">
        <v>1118</v>
      </c>
      <c r="AR27" s="5" t="s">
        <v>1118</v>
      </c>
      <c r="AS27" s="5" t="s">
        <v>1119</v>
      </c>
      <c r="AT27" s="5" t="s">
        <v>1120</v>
      </c>
      <c r="AU27" s="5" t="s">
        <v>108</v>
      </c>
      <c r="AV27" s="5" t="s">
        <v>1121</v>
      </c>
      <c r="AW27" s="5" t="s">
        <v>1117</v>
      </c>
      <c r="AX27" s="5" t="s">
        <v>1122</v>
      </c>
      <c r="AY27" s="5" t="s">
        <v>108</v>
      </c>
      <c r="AZ27" s="5" t="s">
        <v>1123</v>
      </c>
      <c r="BA27" s="5" t="s">
        <v>1124</v>
      </c>
      <c r="BB27" s="5" t="s">
        <v>1125</v>
      </c>
      <c r="BC27" s="5" t="s">
        <v>1126</v>
      </c>
      <c r="BD27" s="5" t="s">
        <v>1113</v>
      </c>
      <c r="BE27" s="5" t="s">
        <v>1127</v>
      </c>
      <c r="BF27" s="5" t="s">
        <v>1128</v>
      </c>
      <c r="BG27" s="5" t="s">
        <v>1129</v>
      </c>
      <c r="BH27" s="5" t="s">
        <v>1130</v>
      </c>
      <c r="BI27" s="5" t="s">
        <v>1131</v>
      </c>
      <c r="BJ27" s="5" t="s">
        <v>1123</v>
      </c>
      <c r="BK27" s="5" t="s">
        <v>1132</v>
      </c>
      <c r="BL27" s="5" t="s">
        <v>108</v>
      </c>
      <c r="BM27" s="5" t="s">
        <v>1117</v>
      </c>
      <c r="BN27" s="5" t="s">
        <v>1133</v>
      </c>
      <c r="BO27" s="5" t="s">
        <v>1134</v>
      </c>
      <c r="BP27" s="5" t="s">
        <v>1135</v>
      </c>
      <c r="BQ27" s="5" t="s">
        <v>1113</v>
      </c>
      <c r="BR27" s="5" t="s">
        <v>1136</v>
      </c>
      <c r="BS27" s="5">
        <v>13</v>
      </c>
      <c r="BT27" s="5" t="s">
        <v>1132</v>
      </c>
      <c r="BU27" s="5">
        <v>2</v>
      </c>
      <c r="BV27" s="5" t="s">
        <v>108</v>
      </c>
      <c r="BW27" s="5" t="s">
        <v>1124</v>
      </c>
      <c r="BX27" s="5" t="s">
        <v>191</v>
      </c>
      <c r="BY27" s="5" t="s">
        <v>383</v>
      </c>
      <c r="BZ27" s="5" t="s">
        <v>1137</v>
      </c>
      <c r="CA27" s="5" t="s">
        <v>149</v>
      </c>
      <c r="CB27" s="5" t="s">
        <v>1138</v>
      </c>
      <c r="CC27" s="5" t="s">
        <v>1138</v>
      </c>
      <c r="CD27" s="5" t="s">
        <v>1139</v>
      </c>
      <c r="CE27" s="5" t="s">
        <v>108</v>
      </c>
      <c r="CF27" s="5" t="s">
        <v>1130</v>
      </c>
      <c r="CG27" s="5" t="s">
        <v>154</v>
      </c>
      <c r="CH27" s="5" t="s">
        <v>153</v>
      </c>
      <c r="CI27" s="5" t="s">
        <v>155</v>
      </c>
      <c r="CJ27" s="5" t="s">
        <v>340</v>
      </c>
      <c r="CK27" s="5" t="s">
        <v>358</v>
      </c>
      <c r="CL27" s="5" t="s">
        <v>108</v>
      </c>
      <c r="CM27" s="5">
        <f>IFERROR(VLOOKUP($A27,Quality_Appraisal!$A:$P,15,FALSE),"")</f>
        <v>22</v>
      </c>
      <c r="CN27" s="5" t="str">
        <f>IFERROR(VLOOKUP($A27,Quality_Appraisal!$A:$P,16,FALSE),"")</f>
        <v>Strong</v>
      </c>
      <c r="CO27" s="5" t="s">
        <v>156</v>
      </c>
      <c r="CP27" s="5" t="s">
        <v>455</v>
      </c>
      <c r="CQ27" s="5" t="s">
        <v>1113</v>
      </c>
      <c r="CR27" s="5" t="s">
        <v>108</v>
      </c>
      <c r="CS27" s="5" t="s">
        <v>427</v>
      </c>
      <c r="CT27" s="5" t="s">
        <v>1113</v>
      </c>
      <c r="CU27" s="5" t="s">
        <v>158</v>
      </c>
      <c r="CV27" s="5" t="s">
        <v>108</v>
      </c>
      <c r="CW27" s="5" t="s">
        <v>1140</v>
      </c>
      <c r="CX27" s="5" t="s">
        <v>1141</v>
      </c>
    </row>
    <row r="28" spans="1:102" ht="28.8" customHeight="1">
      <c r="A28" s="5" t="s">
        <v>1142</v>
      </c>
      <c r="B28" s="5" t="s">
        <v>1143</v>
      </c>
      <c r="C28" s="5" t="s">
        <v>1144</v>
      </c>
      <c r="D28" s="5" t="s">
        <v>105</v>
      </c>
      <c r="E28" s="5" t="s">
        <v>106</v>
      </c>
      <c r="F28" s="5" t="s">
        <v>2693</v>
      </c>
      <c r="G28" s="5" t="s">
        <v>2740</v>
      </c>
      <c r="H28" s="5">
        <v>4</v>
      </c>
      <c r="I28" s="5" t="s">
        <v>109</v>
      </c>
      <c r="J28" s="5" t="s">
        <v>1145</v>
      </c>
      <c r="K28" s="5" t="s">
        <v>1146</v>
      </c>
      <c r="L28" s="5" t="s">
        <v>1147</v>
      </c>
      <c r="M28" s="5" t="s">
        <v>791</v>
      </c>
      <c r="N28" s="5" t="s">
        <v>539</v>
      </c>
      <c r="O28" s="5" t="s">
        <v>1148</v>
      </c>
      <c r="P28" s="5" t="s">
        <v>793</v>
      </c>
      <c r="Q28" s="5" t="s">
        <v>115</v>
      </c>
      <c r="R28" s="5" t="s">
        <v>1149</v>
      </c>
      <c r="S28" s="5" t="s">
        <v>1150</v>
      </c>
      <c r="T28" s="5" t="s">
        <v>117</v>
      </c>
      <c r="U28" s="5">
        <v>5</v>
      </c>
      <c r="V28" s="5" t="s">
        <v>118</v>
      </c>
      <c r="W28" s="5" t="s">
        <v>1146</v>
      </c>
      <c r="X28" s="5" t="s">
        <v>119</v>
      </c>
      <c r="Y28" s="5" t="s">
        <v>1151</v>
      </c>
      <c r="Z28" s="5" t="s">
        <v>121</v>
      </c>
      <c r="AA28" s="5" t="s">
        <v>1152</v>
      </c>
      <c r="AB28" s="5" t="s">
        <v>1153</v>
      </c>
      <c r="AC28" s="5" t="s">
        <v>1154</v>
      </c>
      <c r="AD28" s="5" t="s">
        <v>906</v>
      </c>
      <c r="AE28" s="5" t="s">
        <v>108</v>
      </c>
      <c r="AF28" s="5" t="s">
        <v>1149</v>
      </c>
      <c r="AG28" s="5" t="s">
        <v>1150</v>
      </c>
      <c r="AH28" s="5" t="s">
        <v>175</v>
      </c>
      <c r="AI28" s="5" t="s">
        <v>176</v>
      </c>
      <c r="AJ28" s="5" t="s">
        <v>1155</v>
      </c>
      <c r="AK28" s="5" t="s">
        <v>1155</v>
      </c>
      <c r="AL28" s="5" t="s">
        <v>128</v>
      </c>
      <c r="AM28" s="5" t="s">
        <v>359</v>
      </c>
      <c r="AN28" s="5" t="s">
        <v>1156</v>
      </c>
      <c r="AO28" s="5" t="s">
        <v>1156</v>
      </c>
      <c r="AP28" s="5" t="s">
        <v>1157</v>
      </c>
      <c r="AQ28" s="5" t="s">
        <v>511</v>
      </c>
      <c r="AR28" s="5" t="s">
        <v>511</v>
      </c>
      <c r="AS28" s="5" t="s">
        <v>1158</v>
      </c>
      <c r="AT28" s="5" t="s">
        <v>1159</v>
      </c>
      <c r="AU28" s="5" t="s">
        <v>108</v>
      </c>
      <c r="AV28" s="5" t="s">
        <v>1160</v>
      </c>
      <c r="AW28" s="5" t="s">
        <v>1157</v>
      </c>
      <c r="AX28" s="5" t="s">
        <v>108</v>
      </c>
      <c r="AY28" s="5" t="s">
        <v>108</v>
      </c>
      <c r="AZ28" s="5" t="s">
        <v>1161</v>
      </c>
      <c r="BA28" s="5" t="s">
        <v>1162</v>
      </c>
      <c r="BB28" s="5" t="s">
        <v>1153</v>
      </c>
      <c r="BC28" s="5" t="s">
        <v>1163</v>
      </c>
      <c r="BD28" s="5" t="s">
        <v>1164</v>
      </c>
      <c r="BE28" s="5" t="s">
        <v>1165</v>
      </c>
      <c r="BF28" s="5" t="s">
        <v>1166</v>
      </c>
      <c r="BG28" s="5" t="s">
        <v>1167</v>
      </c>
      <c r="BH28" s="5" t="s">
        <v>1168</v>
      </c>
      <c r="BI28" s="5" t="s">
        <v>1169</v>
      </c>
      <c r="BJ28" s="5" t="s">
        <v>1170</v>
      </c>
      <c r="BK28" s="5" t="s">
        <v>1171</v>
      </c>
      <c r="BL28" s="5" t="s">
        <v>1172</v>
      </c>
      <c r="BM28" s="5" t="s">
        <v>1173</v>
      </c>
      <c r="BN28" s="5" t="s">
        <v>1174</v>
      </c>
      <c r="BO28" s="5" t="s">
        <v>1175</v>
      </c>
      <c r="BP28" s="5" t="s">
        <v>1176</v>
      </c>
      <c r="BQ28" s="5" t="s">
        <v>1164</v>
      </c>
      <c r="BR28" s="5" t="s">
        <v>1177</v>
      </c>
      <c r="BS28" s="5">
        <v>1</v>
      </c>
      <c r="BT28" s="5" t="s">
        <v>1178</v>
      </c>
      <c r="BU28" s="5">
        <v>7</v>
      </c>
      <c r="BV28" s="5" t="s">
        <v>108</v>
      </c>
      <c r="BW28" s="5" t="s">
        <v>1162</v>
      </c>
      <c r="BX28" s="5" t="s">
        <v>191</v>
      </c>
      <c r="BY28" s="5" t="s">
        <v>1179</v>
      </c>
      <c r="BZ28" s="5" t="s">
        <v>1180</v>
      </c>
      <c r="CA28" s="5" t="s">
        <v>149</v>
      </c>
      <c r="CB28" s="5" t="s">
        <v>1181</v>
      </c>
      <c r="CC28" s="5" t="s">
        <v>1181</v>
      </c>
      <c r="CD28" s="5" t="s">
        <v>1182</v>
      </c>
      <c r="CE28" s="5" t="s">
        <v>108</v>
      </c>
      <c r="CF28" s="5" t="s">
        <v>1168</v>
      </c>
      <c r="CG28" s="5" t="s">
        <v>152</v>
      </c>
      <c r="CH28" s="5" t="s">
        <v>154</v>
      </c>
      <c r="CI28" s="5" t="s">
        <v>155</v>
      </c>
      <c r="CJ28" s="5" t="s">
        <v>251</v>
      </c>
      <c r="CK28" s="5" t="s">
        <v>1155</v>
      </c>
      <c r="CL28" s="5" t="s">
        <v>108</v>
      </c>
      <c r="CM28" s="5">
        <f>IFERROR(VLOOKUP($A28,Quality_Appraisal!$A:$P,15,FALSE),"")</f>
        <v>22</v>
      </c>
      <c r="CN28" s="5" t="str">
        <f>IFERROR(VLOOKUP($A28,Quality_Appraisal!$A:$P,16,FALSE),"")</f>
        <v>Strong</v>
      </c>
      <c r="CO28" s="5" t="s">
        <v>156</v>
      </c>
      <c r="CP28" s="5" t="s">
        <v>157</v>
      </c>
      <c r="CQ28" s="5" t="s">
        <v>1152</v>
      </c>
      <c r="CR28" s="5" t="s">
        <v>108</v>
      </c>
      <c r="CS28" s="5" t="s">
        <v>119</v>
      </c>
      <c r="CT28" s="5" t="s">
        <v>1152</v>
      </c>
      <c r="CU28" s="5" t="s">
        <v>158</v>
      </c>
      <c r="CV28" s="5" t="s">
        <v>108</v>
      </c>
      <c r="CW28" s="5" t="s">
        <v>1183</v>
      </c>
      <c r="CX28" s="5" t="s">
        <v>1184</v>
      </c>
    </row>
    <row r="29" spans="1:102" ht="28.8" customHeight="1">
      <c r="A29" s="5" t="s">
        <v>1185</v>
      </c>
      <c r="B29" s="5" t="s">
        <v>1186</v>
      </c>
      <c r="C29" s="5" t="s">
        <v>1187</v>
      </c>
      <c r="D29" s="5" t="s">
        <v>105</v>
      </c>
      <c r="E29" s="5" t="s">
        <v>106</v>
      </c>
      <c r="F29" s="5" t="s">
        <v>2693</v>
      </c>
      <c r="G29" s="5" t="s">
        <v>2740</v>
      </c>
      <c r="H29" s="5">
        <v>4</v>
      </c>
      <c r="I29" s="5" t="s">
        <v>109</v>
      </c>
      <c r="J29" s="5" t="s">
        <v>1188</v>
      </c>
      <c r="K29" s="5" t="s">
        <v>1189</v>
      </c>
      <c r="L29" s="5" t="s">
        <v>1190</v>
      </c>
      <c r="M29" s="5" t="s">
        <v>347</v>
      </c>
      <c r="N29" s="5" t="s">
        <v>539</v>
      </c>
      <c r="O29" s="5" t="s">
        <v>1191</v>
      </c>
      <c r="P29" s="5" t="s">
        <v>208</v>
      </c>
      <c r="Q29" s="5" t="s">
        <v>115</v>
      </c>
      <c r="R29" s="5" t="s">
        <v>1192</v>
      </c>
      <c r="S29" s="5" t="s">
        <v>1193</v>
      </c>
      <c r="T29" s="5" t="s">
        <v>117</v>
      </c>
      <c r="U29" s="5">
        <v>5</v>
      </c>
      <c r="V29" s="5" t="s">
        <v>118</v>
      </c>
      <c r="W29" s="5" t="s">
        <v>1189</v>
      </c>
      <c r="X29" s="5" t="s">
        <v>427</v>
      </c>
      <c r="Y29" s="5" t="s">
        <v>1194</v>
      </c>
      <c r="Z29" s="5" t="s">
        <v>121</v>
      </c>
      <c r="AA29" s="5" t="s">
        <v>1195</v>
      </c>
      <c r="AB29" s="5" t="s">
        <v>1196</v>
      </c>
      <c r="AC29" s="5" t="s">
        <v>1196</v>
      </c>
      <c r="AD29" s="5" t="s">
        <v>1197</v>
      </c>
      <c r="AE29" s="5" t="s">
        <v>1198</v>
      </c>
      <c r="AF29" s="5" t="s">
        <v>1192</v>
      </c>
      <c r="AG29" s="5" t="s">
        <v>1193</v>
      </c>
      <c r="AH29" s="5" t="s">
        <v>175</v>
      </c>
      <c r="AI29" s="5" t="s">
        <v>176</v>
      </c>
      <c r="AJ29" s="5" t="s">
        <v>177</v>
      </c>
      <c r="AK29" s="5" t="s">
        <v>177</v>
      </c>
      <c r="AL29" s="5" t="s">
        <v>178</v>
      </c>
      <c r="AM29" s="5" t="s">
        <v>108</v>
      </c>
      <c r="AN29" s="5" t="s">
        <v>1199</v>
      </c>
      <c r="AO29" s="5" t="s">
        <v>1199</v>
      </c>
      <c r="AP29" s="5" t="s">
        <v>1200</v>
      </c>
      <c r="AQ29" s="5" t="s">
        <v>1201</v>
      </c>
      <c r="AR29" s="5" t="s">
        <v>1201</v>
      </c>
      <c r="AS29" s="5" t="s">
        <v>1202</v>
      </c>
      <c r="AT29" s="5" t="s">
        <v>1203</v>
      </c>
      <c r="AU29" s="5" t="s">
        <v>1204</v>
      </c>
      <c r="AV29" s="5" t="s">
        <v>1205</v>
      </c>
      <c r="AW29" s="5" t="s">
        <v>1200</v>
      </c>
      <c r="AX29" s="5" t="s">
        <v>1206</v>
      </c>
      <c r="AY29" s="5" t="s">
        <v>108</v>
      </c>
      <c r="AZ29" s="5" t="s">
        <v>1207</v>
      </c>
      <c r="BA29" s="5" t="s">
        <v>1208</v>
      </c>
      <c r="BB29" s="5" t="s">
        <v>1203</v>
      </c>
      <c r="BC29" s="5" t="s">
        <v>108</v>
      </c>
      <c r="BD29" s="5" t="s">
        <v>1195</v>
      </c>
      <c r="BE29" s="5" t="s">
        <v>1209</v>
      </c>
      <c r="BF29" s="5" t="s">
        <v>1210</v>
      </c>
      <c r="BG29" s="5" t="s">
        <v>1211</v>
      </c>
      <c r="BH29" s="5" t="s">
        <v>1212</v>
      </c>
      <c r="BI29" s="5" t="s">
        <v>1213</v>
      </c>
      <c r="BJ29" s="5" t="s">
        <v>1214</v>
      </c>
      <c r="BK29" s="5" t="s">
        <v>108</v>
      </c>
      <c r="BL29" s="5" t="s">
        <v>1215</v>
      </c>
      <c r="BM29" s="5" t="s">
        <v>1216</v>
      </c>
      <c r="BN29" s="5" t="s">
        <v>1217</v>
      </c>
      <c r="BO29" s="5" t="s">
        <v>1211</v>
      </c>
      <c r="BP29" s="5" t="s">
        <v>1218</v>
      </c>
      <c r="BQ29" s="5" t="s">
        <v>1195</v>
      </c>
      <c r="BR29" s="5" t="s">
        <v>1219</v>
      </c>
      <c r="BS29" s="5">
        <v>2</v>
      </c>
      <c r="BT29" s="5" t="s">
        <v>1200</v>
      </c>
      <c r="BU29" s="5">
        <v>2</v>
      </c>
      <c r="BV29" s="5" t="s">
        <v>108</v>
      </c>
      <c r="BW29" s="5" t="s">
        <v>1208</v>
      </c>
      <c r="BX29" s="5" t="s">
        <v>191</v>
      </c>
      <c r="BY29" s="5" t="s">
        <v>1220</v>
      </c>
      <c r="BZ29" s="5" t="s">
        <v>1221</v>
      </c>
      <c r="CA29" s="5" t="s">
        <v>248</v>
      </c>
      <c r="CB29" s="5" t="s">
        <v>1221</v>
      </c>
      <c r="CC29" s="5" t="s">
        <v>108</v>
      </c>
      <c r="CD29" s="5" t="s">
        <v>1222</v>
      </c>
      <c r="CE29" s="5" t="s">
        <v>108</v>
      </c>
      <c r="CF29" s="5" t="s">
        <v>1212</v>
      </c>
      <c r="CG29" s="5" t="s">
        <v>154</v>
      </c>
      <c r="CH29" s="5" t="s">
        <v>530</v>
      </c>
      <c r="CI29" s="5" t="s">
        <v>252</v>
      </c>
      <c r="CJ29" s="5" t="s">
        <v>1223</v>
      </c>
      <c r="CK29" s="5" t="s">
        <v>177</v>
      </c>
      <c r="CL29" s="5" t="s">
        <v>108</v>
      </c>
      <c r="CM29" s="5">
        <f>IFERROR(VLOOKUP($A29,Quality_Appraisal!$A:$P,15,FALSE),"")</f>
        <v>24</v>
      </c>
      <c r="CN29" s="5" t="str">
        <f>IFERROR(VLOOKUP($A29,Quality_Appraisal!$A:$P,16,FALSE),"")</f>
        <v>Strong</v>
      </c>
      <c r="CO29" s="5" t="s">
        <v>156</v>
      </c>
      <c r="CP29" s="5" t="s">
        <v>455</v>
      </c>
      <c r="CQ29" s="5" t="s">
        <v>1195</v>
      </c>
      <c r="CR29" s="5" t="s">
        <v>108</v>
      </c>
      <c r="CS29" s="5" t="s">
        <v>427</v>
      </c>
      <c r="CT29" s="5" t="s">
        <v>1195</v>
      </c>
      <c r="CU29" s="5" t="s">
        <v>253</v>
      </c>
      <c r="CV29" s="5" t="s">
        <v>108</v>
      </c>
      <c r="CW29" s="5" t="s">
        <v>1224</v>
      </c>
      <c r="CX29" s="5" t="s">
        <v>1225</v>
      </c>
    </row>
    <row r="30" spans="1:102" ht="28.8" customHeight="1">
      <c r="A30" s="5" t="s">
        <v>1226</v>
      </c>
      <c r="B30" s="5" t="s">
        <v>1227</v>
      </c>
      <c r="C30" s="5" t="s">
        <v>1228</v>
      </c>
      <c r="D30" s="5" t="s">
        <v>105</v>
      </c>
      <c r="E30" s="5" t="s">
        <v>106</v>
      </c>
      <c r="F30" s="5" t="s">
        <v>2693</v>
      </c>
      <c r="G30" s="5" t="s">
        <v>2740</v>
      </c>
      <c r="H30" s="5">
        <v>4</v>
      </c>
      <c r="I30" s="5" t="s">
        <v>109</v>
      </c>
      <c r="J30" s="5" t="s">
        <v>1229</v>
      </c>
      <c r="K30" s="5" t="s">
        <v>1230</v>
      </c>
      <c r="L30" s="5" t="s">
        <v>1231</v>
      </c>
      <c r="M30" s="5" t="s">
        <v>347</v>
      </c>
      <c r="N30" s="5" t="s">
        <v>539</v>
      </c>
      <c r="O30" s="5" t="s">
        <v>1232</v>
      </c>
      <c r="P30" s="5" t="s">
        <v>263</v>
      </c>
      <c r="Q30" s="5" t="s">
        <v>115</v>
      </c>
      <c r="R30" s="5" t="s">
        <v>1233</v>
      </c>
      <c r="S30" s="5" t="s">
        <v>1234</v>
      </c>
      <c r="T30" s="5" t="s">
        <v>117</v>
      </c>
      <c r="U30" s="5">
        <v>5</v>
      </c>
      <c r="V30" s="5" t="s">
        <v>118</v>
      </c>
      <c r="W30" s="5" t="s">
        <v>1230</v>
      </c>
      <c r="X30" s="5" t="s">
        <v>427</v>
      </c>
      <c r="Y30" s="5" t="s">
        <v>1235</v>
      </c>
      <c r="Z30" s="5" t="s">
        <v>121</v>
      </c>
      <c r="AA30" s="5" t="s">
        <v>1236</v>
      </c>
      <c r="AB30" s="5" t="s">
        <v>1237</v>
      </c>
      <c r="AC30" s="5" t="s">
        <v>108</v>
      </c>
      <c r="AD30" s="5" t="s">
        <v>1238</v>
      </c>
      <c r="AE30" s="5" t="s">
        <v>1239</v>
      </c>
      <c r="AF30" s="5" t="s">
        <v>1233</v>
      </c>
      <c r="AG30" s="5" t="s">
        <v>1234</v>
      </c>
      <c r="AH30" s="5" t="s">
        <v>125</v>
      </c>
      <c r="AI30" s="5" t="s">
        <v>126</v>
      </c>
      <c r="AJ30" s="5" t="s">
        <v>314</v>
      </c>
      <c r="AK30" s="5" t="s">
        <v>108</v>
      </c>
      <c r="AL30" s="5" t="s">
        <v>315</v>
      </c>
      <c r="AM30" s="5" t="s">
        <v>108</v>
      </c>
      <c r="AN30" s="5" t="s">
        <v>1240</v>
      </c>
      <c r="AO30" s="5" t="s">
        <v>1240</v>
      </c>
      <c r="AP30" s="5" t="s">
        <v>1241</v>
      </c>
      <c r="AQ30" s="5" t="s">
        <v>108</v>
      </c>
      <c r="AR30" s="5" t="s">
        <v>1238</v>
      </c>
      <c r="AS30" s="5" t="s">
        <v>1242</v>
      </c>
      <c r="AT30" s="5" t="s">
        <v>1243</v>
      </c>
      <c r="AU30" s="5" t="s">
        <v>1244</v>
      </c>
      <c r="AV30" s="5" t="s">
        <v>1245</v>
      </c>
      <c r="AW30" s="5" t="s">
        <v>1241</v>
      </c>
      <c r="AX30" s="5" t="s">
        <v>108</v>
      </c>
      <c r="AY30" s="5" t="s">
        <v>108</v>
      </c>
      <c r="AZ30" s="5" t="s">
        <v>1237</v>
      </c>
      <c r="BA30" s="5" t="s">
        <v>1246</v>
      </c>
      <c r="BB30" s="5" t="s">
        <v>1237</v>
      </c>
      <c r="BC30" s="5" t="s">
        <v>108</v>
      </c>
      <c r="BD30" s="5" t="s">
        <v>1247</v>
      </c>
      <c r="BE30" s="5" t="s">
        <v>1248</v>
      </c>
      <c r="BF30" s="5" t="s">
        <v>1249</v>
      </c>
      <c r="BG30" s="5" t="s">
        <v>1250</v>
      </c>
      <c r="BH30" s="5" t="s">
        <v>1251</v>
      </c>
      <c r="BI30" s="5" t="s">
        <v>1252</v>
      </c>
      <c r="BJ30" s="5" t="s">
        <v>1253</v>
      </c>
      <c r="BK30" s="5" t="s">
        <v>1254</v>
      </c>
      <c r="BL30" s="5" t="s">
        <v>1241</v>
      </c>
      <c r="BM30" s="5" t="s">
        <v>1255</v>
      </c>
      <c r="BN30" s="5" t="s">
        <v>1254</v>
      </c>
      <c r="BO30" s="5" t="s">
        <v>1253</v>
      </c>
      <c r="BP30" s="5" t="s">
        <v>1256</v>
      </c>
      <c r="BQ30" s="5" t="s">
        <v>1247</v>
      </c>
      <c r="BR30" s="5" t="s">
        <v>1257</v>
      </c>
      <c r="BS30" s="5">
        <v>12</v>
      </c>
      <c r="BT30" s="5" t="s">
        <v>1258</v>
      </c>
      <c r="BU30" s="5">
        <v>9</v>
      </c>
      <c r="BV30" s="5" t="s">
        <v>108</v>
      </c>
      <c r="BW30" s="5" t="s">
        <v>1246</v>
      </c>
      <c r="BX30" s="5" t="s">
        <v>191</v>
      </c>
      <c r="BY30" s="5" t="s">
        <v>1259</v>
      </c>
      <c r="BZ30" s="5" t="s">
        <v>1260</v>
      </c>
      <c r="CA30" s="5" t="s">
        <v>1261</v>
      </c>
      <c r="CB30" s="5" t="s">
        <v>1245</v>
      </c>
      <c r="CC30" s="5" t="s">
        <v>1245</v>
      </c>
      <c r="CD30" s="5" t="s">
        <v>1251</v>
      </c>
      <c r="CE30" s="5" t="s">
        <v>108</v>
      </c>
      <c r="CF30" s="5" t="s">
        <v>1251</v>
      </c>
      <c r="CG30" s="5" t="s">
        <v>154</v>
      </c>
      <c r="CH30" s="5" t="s">
        <v>195</v>
      </c>
      <c r="CI30" s="5" t="s">
        <v>252</v>
      </c>
      <c r="CJ30" s="5" t="s">
        <v>493</v>
      </c>
      <c r="CK30" s="5" t="s">
        <v>108</v>
      </c>
      <c r="CL30" s="5" t="s">
        <v>108</v>
      </c>
      <c r="CM30" s="5">
        <f>IFERROR(VLOOKUP($A30,Quality_Appraisal!$A:$P,15,FALSE),"")</f>
        <v>22</v>
      </c>
      <c r="CN30" s="5" t="str">
        <f>IFERROR(VLOOKUP($A30,Quality_Appraisal!$A:$P,16,FALSE),"")</f>
        <v>Strong</v>
      </c>
      <c r="CO30" s="5" t="s">
        <v>156</v>
      </c>
      <c r="CP30" s="5" t="s">
        <v>455</v>
      </c>
      <c r="CQ30" s="5" t="s">
        <v>1236</v>
      </c>
      <c r="CR30" s="5" t="s">
        <v>108</v>
      </c>
      <c r="CS30" s="5" t="s">
        <v>427</v>
      </c>
      <c r="CT30" s="5" t="s">
        <v>1236</v>
      </c>
      <c r="CU30" s="5" t="s">
        <v>253</v>
      </c>
      <c r="CV30" s="5" t="s">
        <v>108</v>
      </c>
      <c r="CW30" s="5" t="s">
        <v>1262</v>
      </c>
      <c r="CX30" s="5" t="s">
        <v>1263</v>
      </c>
    </row>
    <row r="31" spans="1:102" ht="28.8" customHeight="1">
      <c r="A31" s="5" t="s">
        <v>1264</v>
      </c>
      <c r="B31" s="5" t="s">
        <v>1265</v>
      </c>
      <c r="C31" s="5" t="s">
        <v>1266</v>
      </c>
      <c r="D31" s="5" t="s">
        <v>105</v>
      </c>
      <c r="E31" s="5" t="s">
        <v>106</v>
      </c>
      <c r="F31" s="5" t="s">
        <v>2693</v>
      </c>
      <c r="G31" s="5" t="s">
        <v>2740</v>
      </c>
      <c r="H31" s="5">
        <v>4</v>
      </c>
      <c r="I31" s="5" t="s">
        <v>109</v>
      </c>
      <c r="J31" s="5" t="s">
        <v>108</v>
      </c>
      <c r="K31" s="5" t="s">
        <v>1267</v>
      </c>
      <c r="L31" s="5" t="s">
        <v>1268</v>
      </c>
      <c r="M31" s="5" t="s">
        <v>538</v>
      </c>
      <c r="N31" s="5" t="s">
        <v>113</v>
      </c>
      <c r="O31" s="5" t="s">
        <v>1269</v>
      </c>
      <c r="P31" s="5" t="s">
        <v>349</v>
      </c>
      <c r="Q31" s="5" t="s">
        <v>115</v>
      </c>
      <c r="R31" s="5" t="s">
        <v>1270</v>
      </c>
      <c r="S31" s="5" t="s">
        <v>1271</v>
      </c>
      <c r="T31" s="5" t="s">
        <v>117</v>
      </c>
      <c r="U31" s="5">
        <v>5</v>
      </c>
      <c r="V31" s="5" t="s">
        <v>118</v>
      </c>
      <c r="W31" s="5" t="s">
        <v>1267</v>
      </c>
      <c r="X31" s="5" t="s">
        <v>427</v>
      </c>
      <c r="Y31" s="5" t="s">
        <v>1272</v>
      </c>
      <c r="Z31" s="5" t="s">
        <v>121</v>
      </c>
      <c r="AA31" s="5" t="s">
        <v>1273</v>
      </c>
      <c r="AB31" s="5" t="s">
        <v>1274</v>
      </c>
      <c r="AC31" s="5" t="s">
        <v>1275</v>
      </c>
      <c r="AD31" s="5" t="s">
        <v>1276</v>
      </c>
      <c r="AE31" s="5" t="s">
        <v>1277</v>
      </c>
      <c r="AF31" s="5" t="s">
        <v>1270</v>
      </c>
      <c r="AG31" s="5" t="s">
        <v>1271</v>
      </c>
      <c r="AH31" s="5" t="s">
        <v>175</v>
      </c>
      <c r="AI31" s="5" t="s">
        <v>357</v>
      </c>
      <c r="AJ31" s="5" t="s">
        <v>358</v>
      </c>
      <c r="AK31" s="5" t="s">
        <v>358</v>
      </c>
      <c r="AL31" s="5" t="s">
        <v>128</v>
      </c>
      <c r="AM31" s="5" t="s">
        <v>359</v>
      </c>
      <c r="AN31" s="5" t="s">
        <v>1278</v>
      </c>
      <c r="AO31" s="5" t="s">
        <v>1278</v>
      </c>
      <c r="AP31" s="5" t="s">
        <v>1279</v>
      </c>
      <c r="AQ31" s="5" t="s">
        <v>1280</v>
      </c>
      <c r="AR31" s="5" t="s">
        <v>1280</v>
      </c>
      <c r="AS31" s="5" t="s">
        <v>1281</v>
      </c>
      <c r="AT31" s="5" t="s">
        <v>1282</v>
      </c>
      <c r="AU31" s="5" t="s">
        <v>108</v>
      </c>
      <c r="AV31" s="5" t="s">
        <v>1283</v>
      </c>
      <c r="AW31" s="5" t="s">
        <v>1279</v>
      </c>
      <c r="AX31" s="5" t="s">
        <v>108</v>
      </c>
      <c r="AY31" s="5" t="s">
        <v>108</v>
      </c>
      <c r="AZ31" s="5" t="s">
        <v>1274</v>
      </c>
      <c r="BA31" s="5" t="s">
        <v>1284</v>
      </c>
      <c r="BB31" s="5" t="s">
        <v>1285</v>
      </c>
      <c r="BC31" s="5" t="s">
        <v>1286</v>
      </c>
      <c r="BD31" s="5" t="s">
        <v>1273</v>
      </c>
      <c r="BE31" s="5" t="s">
        <v>1287</v>
      </c>
      <c r="BF31" s="5" t="s">
        <v>1288</v>
      </c>
      <c r="BG31" s="5" t="s">
        <v>1289</v>
      </c>
      <c r="BH31" s="5" t="s">
        <v>1290</v>
      </c>
      <c r="BI31" s="5" t="s">
        <v>1291</v>
      </c>
      <c r="BJ31" s="5" t="s">
        <v>1292</v>
      </c>
      <c r="BK31" s="5" t="s">
        <v>1293</v>
      </c>
      <c r="BL31" s="5" t="s">
        <v>1294</v>
      </c>
      <c r="BM31" s="5" t="s">
        <v>1295</v>
      </c>
      <c r="BN31" s="5" t="s">
        <v>1296</v>
      </c>
      <c r="BO31" s="5" t="s">
        <v>1297</v>
      </c>
      <c r="BP31" s="5" t="s">
        <v>1298</v>
      </c>
      <c r="BQ31" s="5" t="s">
        <v>1273</v>
      </c>
      <c r="BR31" s="5" t="s">
        <v>1299</v>
      </c>
      <c r="BS31" s="5">
        <v>5</v>
      </c>
      <c r="BT31" s="5" t="s">
        <v>1300</v>
      </c>
      <c r="BU31" s="5">
        <v>1</v>
      </c>
      <c r="BV31" s="5" t="s">
        <v>108</v>
      </c>
      <c r="BW31" s="5" t="s">
        <v>1284</v>
      </c>
      <c r="BX31" s="5" t="s">
        <v>191</v>
      </c>
      <c r="BY31" s="5" t="s">
        <v>1301</v>
      </c>
      <c r="BZ31" s="5" t="s">
        <v>1302</v>
      </c>
      <c r="CA31" s="5" t="s">
        <v>149</v>
      </c>
      <c r="CB31" s="5" t="s">
        <v>1303</v>
      </c>
      <c r="CC31" s="5" t="s">
        <v>1303</v>
      </c>
      <c r="CD31" s="5" t="s">
        <v>1304</v>
      </c>
      <c r="CE31" s="5" t="s">
        <v>108</v>
      </c>
      <c r="CF31" s="5" t="s">
        <v>1290</v>
      </c>
      <c r="CG31" s="5" t="s">
        <v>154</v>
      </c>
      <c r="CH31" s="5" t="s">
        <v>493</v>
      </c>
      <c r="CI31" s="5" t="s">
        <v>195</v>
      </c>
      <c r="CJ31" s="5" t="s">
        <v>1223</v>
      </c>
      <c r="CK31" s="5" t="s">
        <v>358</v>
      </c>
      <c r="CL31" s="5" t="s">
        <v>108</v>
      </c>
      <c r="CM31" s="5">
        <f>IFERROR(VLOOKUP($A31,Quality_Appraisal!$A:$P,15,FALSE),"")</f>
        <v>22</v>
      </c>
      <c r="CN31" s="5" t="str">
        <f>IFERROR(VLOOKUP($A31,Quality_Appraisal!$A:$P,16,FALSE),"")</f>
        <v>Strong</v>
      </c>
      <c r="CO31" s="5" t="s">
        <v>156</v>
      </c>
      <c r="CP31" s="5" t="s">
        <v>455</v>
      </c>
      <c r="CQ31" s="5" t="s">
        <v>1273</v>
      </c>
      <c r="CR31" s="5" t="s">
        <v>108</v>
      </c>
      <c r="CS31" s="5" t="s">
        <v>427</v>
      </c>
      <c r="CT31" s="5" t="s">
        <v>1273</v>
      </c>
      <c r="CU31" s="5" t="s">
        <v>158</v>
      </c>
      <c r="CV31" s="5" t="s">
        <v>108</v>
      </c>
      <c r="CW31" s="5" t="s">
        <v>1305</v>
      </c>
      <c r="CX31" s="5" t="s">
        <v>108</v>
      </c>
    </row>
    <row r="32" spans="1:102" ht="28.8" customHeight="1">
      <c r="A32" s="5" t="s">
        <v>1306</v>
      </c>
      <c r="B32" s="5" t="s">
        <v>1307</v>
      </c>
      <c r="C32" s="5" t="s">
        <v>1308</v>
      </c>
      <c r="D32" s="5" t="s">
        <v>105</v>
      </c>
      <c r="E32" s="5" t="s">
        <v>106</v>
      </c>
      <c r="F32" s="5" t="s">
        <v>2693</v>
      </c>
      <c r="G32" s="5" t="s">
        <v>2740</v>
      </c>
      <c r="H32" s="5">
        <v>4</v>
      </c>
      <c r="I32" s="5" t="s">
        <v>109</v>
      </c>
      <c r="J32" s="5" t="s">
        <v>108</v>
      </c>
      <c r="K32" s="5" t="s">
        <v>1309</v>
      </c>
      <c r="L32" s="5" t="s">
        <v>1310</v>
      </c>
      <c r="M32" s="5" t="s">
        <v>347</v>
      </c>
      <c r="N32" s="5" t="s">
        <v>113</v>
      </c>
      <c r="O32" s="5" t="s">
        <v>1311</v>
      </c>
      <c r="P32" s="5" t="s">
        <v>1312</v>
      </c>
      <c r="Q32" s="5" t="s">
        <v>115</v>
      </c>
      <c r="R32" s="5" t="s">
        <v>1313</v>
      </c>
      <c r="S32" s="5" t="s">
        <v>1314</v>
      </c>
      <c r="T32" s="5" t="s">
        <v>117</v>
      </c>
      <c r="U32" s="5">
        <v>5</v>
      </c>
      <c r="V32" s="5" t="s">
        <v>118</v>
      </c>
      <c r="W32" s="5" t="s">
        <v>1309</v>
      </c>
      <c r="X32" s="5" t="s">
        <v>119</v>
      </c>
      <c r="Y32" s="5" t="s">
        <v>1315</v>
      </c>
      <c r="Z32" s="5" t="s">
        <v>121</v>
      </c>
      <c r="AA32" s="5" t="s">
        <v>1316</v>
      </c>
      <c r="AB32" s="5" t="s">
        <v>108</v>
      </c>
      <c r="AC32" s="5" t="s">
        <v>1317</v>
      </c>
      <c r="AD32" s="5" t="s">
        <v>906</v>
      </c>
      <c r="AE32" s="5" t="s">
        <v>1318</v>
      </c>
      <c r="AF32" s="5" t="s">
        <v>1313</v>
      </c>
      <c r="AG32" s="5" t="s">
        <v>1314</v>
      </c>
      <c r="AH32" s="5" t="s">
        <v>125</v>
      </c>
      <c r="AI32" s="5" t="s">
        <v>126</v>
      </c>
      <c r="AJ32" s="5" t="s">
        <v>271</v>
      </c>
      <c r="AK32" s="5" t="s">
        <v>271</v>
      </c>
      <c r="AL32" s="5" t="s">
        <v>128</v>
      </c>
      <c r="AM32" s="5" t="s">
        <v>129</v>
      </c>
      <c r="AN32" s="5" t="s">
        <v>221</v>
      </c>
      <c r="AO32" s="5" t="s">
        <v>221</v>
      </c>
      <c r="AP32" s="5" t="s">
        <v>1319</v>
      </c>
      <c r="AQ32" s="5" t="s">
        <v>511</v>
      </c>
      <c r="AR32" s="5" t="s">
        <v>511</v>
      </c>
      <c r="AS32" s="5" t="s">
        <v>108</v>
      </c>
      <c r="AT32" s="5" t="s">
        <v>1320</v>
      </c>
      <c r="AU32" s="5" t="s">
        <v>1320</v>
      </c>
      <c r="AV32" s="5" t="s">
        <v>1321</v>
      </c>
      <c r="AW32" s="5" t="s">
        <v>1319</v>
      </c>
      <c r="AX32" s="5" t="s">
        <v>108</v>
      </c>
      <c r="AY32" s="5" t="s">
        <v>108</v>
      </c>
      <c r="AZ32" s="5" t="s">
        <v>1322</v>
      </c>
      <c r="BA32" s="5" t="s">
        <v>1323</v>
      </c>
      <c r="BB32" s="5" t="s">
        <v>1324</v>
      </c>
      <c r="BC32" s="5" t="s">
        <v>1325</v>
      </c>
      <c r="BD32" s="5" t="s">
        <v>1316</v>
      </c>
      <c r="BE32" s="5" t="s">
        <v>1326</v>
      </c>
      <c r="BF32" s="5" t="s">
        <v>1327</v>
      </c>
      <c r="BG32" s="5" t="s">
        <v>1328</v>
      </c>
      <c r="BH32" s="5" t="s">
        <v>1328</v>
      </c>
      <c r="BI32" s="5" t="s">
        <v>1329</v>
      </c>
      <c r="BJ32" s="5" t="s">
        <v>1330</v>
      </c>
      <c r="BK32" s="5" t="s">
        <v>1331</v>
      </c>
      <c r="BL32" s="5" t="s">
        <v>1332</v>
      </c>
      <c r="BM32" s="5" t="s">
        <v>1333</v>
      </c>
      <c r="BN32" s="5" t="s">
        <v>1334</v>
      </c>
      <c r="BO32" s="5" t="s">
        <v>108</v>
      </c>
      <c r="BP32" s="5" t="s">
        <v>1335</v>
      </c>
      <c r="BQ32" s="5" t="s">
        <v>1316</v>
      </c>
      <c r="BR32" s="5" t="s">
        <v>1334</v>
      </c>
      <c r="BS32" s="5">
        <v>1</v>
      </c>
      <c r="BT32" s="5" t="s">
        <v>1336</v>
      </c>
      <c r="BU32" s="5">
        <v>2</v>
      </c>
      <c r="BV32" s="5" t="s">
        <v>108</v>
      </c>
      <c r="BW32" s="5" t="s">
        <v>1323</v>
      </c>
      <c r="BX32" s="5" t="s">
        <v>191</v>
      </c>
      <c r="BY32" s="5" t="s">
        <v>1337</v>
      </c>
      <c r="BZ32" s="5" t="s">
        <v>1338</v>
      </c>
      <c r="CA32" s="5" t="s">
        <v>248</v>
      </c>
      <c r="CB32" s="5" t="s">
        <v>1339</v>
      </c>
      <c r="CC32" s="5" t="s">
        <v>1339</v>
      </c>
      <c r="CD32" s="5" t="s">
        <v>1340</v>
      </c>
      <c r="CE32" s="5" t="s">
        <v>108</v>
      </c>
      <c r="CF32" s="5" t="s">
        <v>1328</v>
      </c>
      <c r="CG32" s="5" t="s">
        <v>152</v>
      </c>
      <c r="CH32" s="5" t="s">
        <v>251</v>
      </c>
      <c r="CI32" s="5" t="s">
        <v>493</v>
      </c>
      <c r="CJ32" s="5" t="s">
        <v>194</v>
      </c>
      <c r="CK32" s="5" t="s">
        <v>271</v>
      </c>
      <c r="CL32" s="5" t="s">
        <v>108</v>
      </c>
      <c r="CM32" s="5">
        <f>IFERROR(VLOOKUP($A32,Quality_Appraisal!$A:$P,15,FALSE),"")</f>
        <v>24</v>
      </c>
      <c r="CN32" s="5" t="str">
        <f>IFERROR(VLOOKUP($A32,Quality_Appraisal!$A:$P,16,FALSE),"")</f>
        <v>Strong</v>
      </c>
      <c r="CO32" s="5" t="s">
        <v>156</v>
      </c>
      <c r="CP32" s="5" t="s">
        <v>157</v>
      </c>
      <c r="CQ32" s="5" t="s">
        <v>1316</v>
      </c>
      <c r="CR32" s="5" t="s">
        <v>108</v>
      </c>
      <c r="CS32" s="5" t="s">
        <v>119</v>
      </c>
      <c r="CT32" s="5" t="s">
        <v>1316</v>
      </c>
      <c r="CU32" s="5" t="s">
        <v>253</v>
      </c>
      <c r="CV32" s="5" t="s">
        <v>108</v>
      </c>
      <c r="CW32" s="5" t="s">
        <v>1341</v>
      </c>
      <c r="CX32" s="5" t="s">
        <v>108</v>
      </c>
    </row>
    <row r="33" spans="1:102" ht="28.8" customHeight="1">
      <c r="A33" s="5" t="s">
        <v>1342</v>
      </c>
      <c r="B33" s="5" t="s">
        <v>1343</v>
      </c>
      <c r="C33" s="5" t="s">
        <v>1344</v>
      </c>
      <c r="D33" s="5" t="s">
        <v>105</v>
      </c>
      <c r="E33" s="5" t="s">
        <v>106</v>
      </c>
      <c r="F33" s="5" t="s">
        <v>2693</v>
      </c>
      <c r="G33" s="5" t="s">
        <v>2740</v>
      </c>
      <c r="H33" s="5">
        <v>4</v>
      </c>
      <c r="I33" s="5" t="s">
        <v>109</v>
      </c>
      <c r="J33" s="5" t="s">
        <v>108</v>
      </c>
      <c r="K33" s="5" t="s">
        <v>1345</v>
      </c>
      <c r="L33" s="5" t="s">
        <v>1346</v>
      </c>
      <c r="M33" s="5" t="s">
        <v>941</v>
      </c>
      <c r="N33" s="5" t="s">
        <v>616</v>
      </c>
      <c r="O33" s="5" t="s">
        <v>1347</v>
      </c>
      <c r="P33" s="5" t="s">
        <v>349</v>
      </c>
      <c r="Q33" s="5" t="s">
        <v>115</v>
      </c>
      <c r="R33" s="5" t="s">
        <v>108</v>
      </c>
      <c r="S33" s="5" t="s">
        <v>1348</v>
      </c>
      <c r="T33" s="5" t="s">
        <v>117</v>
      </c>
      <c r="U33" s="5">
        <v>5</v>
      </c>
      <c r="V33" s="5" t="s">
        <v>118</v>
      </c>
      <c r="W33" s="5" t="s">
        <v>1345</v>
      </c>
      <c r="X33" s="5" t="s">
        <v>427</v>
      </c>
      <c r="Y33" s="5" t="s">
        <v>1349</v>
      </c>
      <c r="Z33" s="5" t="s">
        <v>121</v>
      </c>
      <c r="AA33" s="5" t="s">
        <v>1350</v>
      </c>
      <c r="AB33" s="5" t="s">
        <v>108</v>
      </c>
      <c r="AC33" s="5" t="s">
        <v>1351</v>
      </c>
      <c r="AD33" s="5" t="s">
        <v>431</v>
      </c>
      <c r="AE33" s="5" t="s">
        <v>1352</v>
      </c>
      <c r="AF33" s="5" t="s">
        <v>431</v>
      </c>
      <c r="AG33" s="5" t="s">
        <v>1348</v>
      </c>
      <c r="AH33" s="5" t="s">
        <v>175</v>
      </c>
      <c r="AI33" s="5" t="s">
        <v>176</v>
      </c>
      <c r="AJ33" s="5" t="s">
        <v>177</v>
      </c>
      <c r="AK33" s="5" t="s">
        <v>177</v>
      </c>
      <c r="AL33" s="5" t="s">
        <v>178</v>
      </c>
      <c r="AM33" s="5" t="s">
        <v>108</v>
      </c>
      <c r="AN33" s="5" t="s">
        <v>108</v>
      </c>
      <c r="AO33" s="5" t="s">
        <v>108</v>
      </c>
      <c r="AP33" s="5" t="s">
        <v>1353</v>
      </c>
      <c r="AQ33" s="5" t="s">
        <v>1354</v>
      </c>
      <c r="AR33" s="5" t="s">
        <v>1354</v>
      </c>
      <c r="AS33" s="5" t="s">
        <v>1355</v>
      </c>
      <c r="AT33" s="5" t="s">
        <v>1356</v>
      </c>
      <c r="AU33" s="5" t="s">
        <v>108</v>
      </c>
      <c r="AV33" s="5" t="s">
        <v>108</v>
      </c>
      <c r="AW33" s="5" t="s">
        <v>1353</v>
      </c>
      <c r="AX33" s="5" t="s">
        <v>108</v>
      </c>
      <c r="AY33" s="5" t="s">
        <v>108</v>
      </c>
      <c r="AZ33" s="5" t="s">
        <v>1350</v>
      </c>
      <c r="BA33" s="5" t="s">
        <v>108</v>
      </c>
      <c r="BB33" s="5" t="s">
        <v>1352</v>
      </c>
      <c r="BC33" s="5" t="s">
        <v>1355</v>
      </c>
      <c r="BD33" s="5" t="s">
        <v>1357</v>
      </c>
      <c r="BE33" s="5" t="s">
        <v>1358</v>
      </c>
      <c r="BF33" s="5" t="s">
        <v>1359</v>
      </c>
      <c r="BG33" s="5" t="s">
        <v>1360</v>
      </c>
      <c r="BH33" s="5" t="s">
        <v>1361</v>
      </c>
      <c r="BI33" s="5" t="s">
        <v>1362</v>
      </c>
      <c r="BJ33" s="5" t="s">
        <v>1352</v>
      </c>
      <c r="BK33" s="5" t="s">
        <v>1363</v>
      </c>
      <c r="BL33" s="5" t="s">
        <v>1364</v>
      </c>
      <c r="BM33" s="5" t="s">
        <v>1365</v>
      </c>
      <c r="BN33" s="5" t="s">
        <v>1366</v>
      </c>
      <c r="BO33" s="5" t="s">
        <v>1367</v>
      </c>
      <c r="BP33" s="5" t="s">
        <v>1368</v>
      </c>
      <c r="BQ33" s="5" t="s">
        <v>1357</v>
      </c>
      <c r="BR33" s="5" t="s">
        <v>1369</v>
      </c>
      <c r="BS33" s="5">
        <v>6</v>
      </c>
      <c r="BT33" s="5" t="s">
        <v>1370</v>
      </c>
      <c r="BU33" s="5">
        <v>1</v>
      </c>
      <c r="BV33" s="5" t="s">
        <v>108</v>
      </c>
      <c r="BW33" s="5" t="s">
        <v>108</v>
      </c>
      <c r="BX33" s="5" t="s">
        <v>191</v>
      </c>
      <c r="BY33" s="5" t="s">
        <v>415</v>
      </c>
      <c r="BZ33" s="5" t="s">
        <v>1371</v>
      </c>
      <c r="CA33" s="5" t="s">
        <v>149</v>
      </c>
      <c r="CB33" s="5" t="s">
        <v>1372</v>
      </c>
      <c r="CC33" s="5" t="s">
        <v>1372</v>
      </c>
      <c r="CD33" s="5" t="s">
        <v>108</v>
      </c>
      <c r="CE33" s="5" t="s">
        <v>108</v>
      </c>
      <c r="CF33" s="5" t="s">
        <v>1361</v>
      </c>
      <c r="CG33" s="5" t="s">
        <v>154</v>
      </c>
      <c r="CH33" s="5" t="s">
        <v>152</v>
      </c>
      <c r="CI33" s="5" t="s">
        <v>493</v>
      </c>
      <c r="CJ33" s="5" t="s">
        <v>710</v>
      </c>
      <c r="CK33" s="5" t="s">
        <v>177</v>
      </c>
      <c r="CL33" s="5" t="s">
        <v>108</v>
      </c>
      <c r="CM33" s="5">
        <f>IFERROR(VLOOKUP($A33,Quality_Appraisal!$A:$P,15,FALSE),"")</f>
        <v>22</v>
      </c>
      <c r="CN33" s="5" t="str">
        <f>IFERROR(VLOOKUP($A33,Quality_Appraisal!$A:$P,16,FALSE),"")</f>
        <v>Strong</v>
      </c>
      <c r="CO33" s="5" t="s">
        <v>156</v>
      </c>
      <c r="CP33" s="5" t="s">
        <v>455</v>
      </c>
      <c r="CQ33" s="5" t="s">
        <v>1350</v>
      </c>
      <c r="CR33" s="5" t="s">
        <v>108</v>
      </c>
      <c r="CS33" s="5" t="s">
        <v>427</v>
      </c>
      <c r="CT33" s="5" t="s">
        <v>1350</v>
      </c>
      <c r="CU33" s="5" t="s">
        <v>158</v>
      </c>
      <c r="CV33" s="5" t="s">
        <v>108</v>
      </c>
      <c r="CW33" s="5" t="s">
        <v>1373</v>
      </c>
      <c r="CX33" s="5" t="s">
        <v>108</v>
      </c>
    </row>
    <row r="34" spans="1:102" ht="28.8" customHeight="1">
      <c r="A34" s="5" t="s">
        <v>1374</v>
      </c>
      <c r="B34" s="5" t="s">
        <v>1375</v>
      </c>
      <c r="C34" s="5" t="s">
        <v>1376</v>
      </c>
      <c r="D34" s="5" t="s">
        <v>105</v>
      </c>
      <c r="E34" s="5" t="s">
        <v>106</v>
      </c>
      <c r="F34" s="5" t="s">
        <v>2693</v>
      </c>
      <c r="G34" s="5" t="s">
        <v>2740</v>
      </c>
      <c r="H34" s="5">
        <v>4</v>
      </c>
      <c r="I34" s="5" t="s">
        <v>109</v>
      </c>
      <c r="J34" s="5" t="s">
        <v>1377</v>
      </c>
      <c r="K34" s="5" t="s">
        <v>1378</v>
      </c>
      <c r="L34" s="5" t="s">
        <v>1379</v>
      </c>
      <c r="M34" s="5" t="s">
        <v>941</v>
      </c>
      <c r="N34" s="5" t="s">
        <v>616</v>
      </c>
      <c r="O34" s="5" t="s">
        <v>1380</v>
      </c>
      <c r="P34" s="5" t="s">
        <v>263</v>
      </c>
      <c r="Q34" s="5" t="s">
        <v>115</v>
      </c>
      <c r="R34" s="5" t="s">
        <v>1381</v>
      </c>
      <c r="S34" s="5" t="s">
        <v>1382</v>
      </c>
      <c r="T34" s="5" t="s">
        <v>117</v>
      </c>
      <c r="U34" s="5">
        <v>5</v>
      </c>
      <c r="V34" s="5" t="s">
        <v>118</v>
      </c>
      <c r="W34" s="5" t="s">
        <v>1378</v>
      </c>
      <c r="X34" s="5" t="s">
        <v>119</v>
      </c>
      <c r="Y34" s="5" t="s">
        <v>1383</v>
      </c>
      <c r="Z34" s="5" t="s">
        <v>121</v>
      </c>
      <c r="AA34" s="5" t="s">
        <v>1384</v>
      </c>
      <c r="AB34" s="5" t="s">
        <v>1385</v>
      </c>
      <c r="AC34" s="5" t="s">
        <v>108</v>
      </c>
      <c r="AD34" s="5" t="s">
        <v>508</v>
      </c>
      <c r="AE34" s="5" t="s">
        <v>108</v>
      </c>
      <c r="AF34" s="5" t="s">
        <v>1381</v>
      </c>
      <c r="AG34" s="5" t="s">
        <v>1382</v>
      </c>
      <c r="AH34" s="5" t="s">
        <v>175</v>
      </c>
      <c r="AI34" s="5" t="s">
        <v>176</v>
      </c>
      <c r="AJ34" s="5" t="s">
        <v>398</v>
      </c>
      <c r="AK34" s="5" t="s">
        <v>398</v>
      </c>
      <c r="AL34" s="5" t="s">
        <v>128</v>
      </c>
      <c r="AM34" s="5" t="s">
        <v>108</v>
      </c>
      <c r="AN34" s="5" t="s">
        <v>989</v>
      </c>
      <c r="AO34" s="5" t="s">
        <v>989</v>
      </c>
      <c r="AP34" s="5" t="s">
        <v>1386</v>
      </c>
      <c r="AQ34" s="5" t="s">
        <v>511</v>
      </c>
      <c r="AR34" s="5" t="s">
        <v>511</v>
      </c>
      <c r="AS34" s="5" t="s">
        <v>108</v>
      </c>
      <c r="AT34" s="5" t="s">
        <v>1387</v>
      </c>
      <c r="AU34" s="5" t="s">
        <v>108</v>
      </c>
      <c r="AV34" s="5" t="s">
        <v>108</v>
      </c>
      <c r="AW34" s="5" t="s">
        <v>1386</v>
      </c>
      <c r="AX34" s="5" t="s">
        <v>108</v>
      </c>
      <c r="AY34" s="5" t="s">
        <v>108</v>
      </c>
      <c r="AZ34" s="5" t="s">
        <v>1388</v>
      </c>
      <c r="BA34" s="5" t="s">
        <v>108</v>
      </c>
      <c r="BB34" s="5" t="s">
        <v>1389</v>
      </c>
      <c r="BC34" s="5" t="s">
        <v>108</v>
      </c>
      <c r="BD34" s="5" t="s">
        <v>1384</v>
      </c>
      <c r="BE34" s="5" t="s">
        <v>1390</v>
      </c>
      <c r="BF34" s="5" t="s">
        <v>1391</v>
      </c>
      <c r="BG34" s="5" t="s">
        <v>108</v>
      </c>
      <c r="BH34" s="5" t="s">
        <v>108</v>
      </c>
      <c r="BI34" s="5" t="s">
        <v>108</v>
      </c>
      <c r="BJ34" s="5" t="s">
        <v>108</v>
      </c>
      <c r="BK34" s="5" t="s">
        <v>108</v>
      </c>
      <c r="BL34" s="5" t="s">
        <v>108</v>
      </c>
      <c r="BM34" s="5" t="s">
        <v>1392</v>
      </c>
      <c r="BN34" s="5" t="s">
        <v>1393</v>
      </c>
      <c r="BO34" s="5" t="s">
        <v>108</v>
      </c>
      <c r="BP34" s="5" t="s">
        <v>1394</v>
      </c>
      <c r="BQ34" s="5" t="s">
        <v>1384</v>
      </c>
      <c r="BR34" s="5" t="s">
        <v>1393</v>
      </c>
      <c r="BS34" s="5">
        <v>1</v>
      </c>
      <c r="BT34" s="5" t="s">
        <v>1395</v>
      </c>
      <c r="BU34" s="5">
        <v>2</v>
      </c>
      <c r="BV34" s="5" t="s">
        <v>108</v>
      </c>
      <c r="BW34" s="5" t="s">
        <v>108</v>
      </c>
      <c r="BX34" s="5" t="s">
        <v>191</v>
      </c>
      <c r="BY34" s="5" t="s">
        <v>192</v>
      </c>
      <c r="BZ34" s="5" t="s">
        <v>1396</v>
      </c>
      <c r="CA34" s="5" t="s">
        <v>149</v>
      </c>
      <c r="CB34" s="5" t="s">
        <v>1397</v>
      </c>
      <c r="CC34" s="5" t="s">
        <v>1397</v>
      </c>
      <c r="CD34" s="5" t="s">
        <v>1398</v>
      </c>
      <c r="CE34" s="5" t="s">
        <v>108</v>
      </c>
      <c r="CF34" s="5" t="s">
        <v>108</v>
      </c>
      <c r="CG34" s="5" t="s">
        <v>152</v>
      </c>
      <c r="CH34" s="5" t="s">
        <v>154</v>
      </c>
      <c r="CI34" s="5" t="s">
        <v>530</v>
      </c>
      <c r="CJ34" s="5" t="s">
        <v>194</v>
      </c>
      <c r="CK34" s="5" t="s">
        <v>398</v>
      </c>
      <c r="CL34" s="5" t="s">
        <v>108</v>
      </c>
      <c r="CM34" s="5">
        <f>IFERROR(VLOOKUP($A34,Quality_Appraisal!$A:$P,15,FALSE),"")</f>
        <v>20</v>
      </c>
      <c r="CN34" s="5" t="str">
        <f>IFERROR(VLOOKUP($A34,Quality_Appraisal!$A:$P,16,FALSE),"")</f>
        <v>Strong</v>
      </c>
      <c r="CO34" s="5" t="s">
        <v>156</v>
      </c>
      <c r="CP34" s="5" t="s">
        <v>157</v>
      </c>
      <c r="CQ34" s="5" t="s">
        <v>1384</v>
      </c>
      <c r="CR34" s="5" t="s">
        <v>108</v>
      </c>
      <c r="CS34" s="5" t="s">
        <v>119</v>
      </c>
      <c r="CT34" s="5" t="s">
        <v>1384</v>
      </c>
      <c r="CU34" s="5" t="s">
        <v>158</v>
      </c>
      <c r="CV34" s="5" t="s">
        <v>108</v>
      </c>
      <c r="CW34" s="5" t="s">
        <v>1399</v>
      </c>
      <c r="CX34" s="5" t="s">
        <v>1400</v>
      </c>
    </row>
    <row r="35" spans="1:102" ht="28.8" customHeight="1">
      <c r="A35" s="5" t="s">
        <v>1401</v>
      </c>
      <c r="B35" s="5" t="s">
        <v>1402</v>
      </c>
      <c r="C35" s="5" t="s">
        <v>1403</v>
      </c>
      <c r="D35" s="5" t="s">
        <v>105</v>
      </c>
      <c r="E35" s="5" t="s">
        <v>106</v>
      </c>
      <c r="F35" s="5" t="s">
        <v>2693</v>
      </c>
      <c r="G35" s="5" t="s">
        <v>2740</v>
      </c>
      <c r="H35" s="5">
        <v>4</v>
      </c>
      <c r="I35" s="5" t="s">
        <v>109</v>
      </c>
      <c r="J35" s="5" t="s">
        <v>108</v>
      </c>
      <c r="K35" s="5" t="s">
        <v>1404</v>
      </c>
      <c r="L35" s="5" t="s">
        <v>1405</v>
      </c>
      <c r="M35" s="5" t="s">
        <v>347</v>
      </c>
      <c r="N35" s="5" t="s">
        <v>113</v>
      </c>
      <c r="O35" s="5" t="s">
        <v>1406</v>
      </c>
      <c r="P35" s="5" t="s">
        <v>108</v>
      </c>
      <c r="Q35" s="5" t="s">
        <v>115</v>
      </c>
      <c r="R35" s="5" t="s">
        <v>1407</v>
      </c>
      <c r="S35" s="5" t="s">
        <v>1408</v>
      </c>
      <c r="T35" s="5" t="s">
        <v>117</v>
      </c>
      <c r="U35" s="5">
        <v>5</v>
      </c>
      <c r="V35" s="5" t="s">
        <v>118</v>
      </c>
      <c r="W35" s="5" t="s">
        <v>1404</v>
      </c>
      <c r="X35" s="5" t="s">
        <v>427</v>
      </c>
      <c r="Y35" s="5" t="s">
        <v>1409</v>
      </c>
      <c r="Z35" s="5" t="s">
        <v>121</v>
      </c>
      <c r="AA35" s="5" t="s">
        <v>1410</v>
      </c>
      <c r="AB35" s="5" t="s">
        <v>1411</v>
      </c>
      <c r="AC35" s="5" t="s">
        <v>108</v>
      </c>
      <c r="AD35" s="5" t="s">
        <v>124</v>
      </c>
      <c r="AE35" s="5" t="s">
        <v>1412</v>
      </c>
      <c r="AF35" s="5" t="s">
        <v>1407</v>
      </c>
      <c r="AG35" s="5" t="s">
        <v>1408</v>
      </c>
      <c r="AH35" s="5" t="s">
        <v>175</v>
      </c>
      <c r="AI35" s="5" t="s">
        <v>357</v>
      </c>
      <c r="AJ35" s="5" t="s">
        <v>358</v>
      </c>
      <c r="AK35" s="5" t="s">
        <v>358</v>
      </c>
      <c r="AL35" s="5" t="s">
        <v>128</v>
      </c>
      <c r="AM35" s="5" t="s">
        <v>359</v>
      </c>
      <c r="AN35" s="5" t="s">
        <v>108</v>
      </c>
      <c r="AO35" s="5" t="s">
        <v>108</v>
      </c>
      <c r="AP35" s="5" t="s">
        <v>1413</v>
      </c>
      <c r="AQ35" s="5" t="s">
        <v>1414</v>
      </c>
      <c r="AR35" s="5" t="s">
        <v>1414</v>
      </c>
      <c r="AS35" s="5" t="s">
        <v>108</v>
      </c>
      <c r="AT35" s="5" t="s">
        <v>1415</v>
      </c>
      <c r="AU35" s="5" t="s">
        <v>108</v>
      </c>
      <c r="AV35" s="5" t="s">
        <v>1416</v>
      </c>
      <c r="AW35" s="5" t="s">
        <v>1413</v>
      </c>
      <c r="AX35" s="5" t="s">
        <v>108</v>
      </c>
      <c r="AY35" s="5" t="s">
        <v>108</v>
      </c>
      <c r="AZ35" s="5" t="s">
        <v>1417</v>
      </c>
      <c r="BA35" s="5" t="s">
        <v>1418</v>
      </c>
      <c r="BB35" s="5" t="s">
        <v>1419</v>
      </c>
      <c r="BC35" s="5" t="s">
        <v>108</v>
      </c>
      <c r="BD35" s="5" t="s">
        <v>1420</v>
      </c>
      <c r="BE35" s="5" t="s">
        <v>1421</v>
      </c>
      <c r="BF35" s="5" t="s">
        <v>1422</v>
      </c>
      <c r="BG35" s="5" t="s">
        <v>1423</v>
      </c>
      <c r="BH35" s="5" t="s">
        <v>108</v>
      </c>
      <c r="BI35" s="5" t="s">
        <v>1423</v>
      </c>
      <c r="BJ35" s="5" t="s">
        <v>108</v>
      </c>
      <c r="BK35" s="5" t="s">
        <v>1424</v>
      </c>
      <c r="BL35" s="5" t="s">
        <v>108</v>
      </c>
      <c r="BM35" s="5" t="s">
        <v>1424</v>
      </c>
      <c r="BN35" s="5" t="s">
        <v>1425</v>
      </c>
      <c r="BO35" s="5" t="s">
        <v>1426</v>
      </c>
      <c r="BP35" s="5" t="s">
        <v>1415</v>
      </c>
      <c r="BQ35" s="5" t="s">
        <v>1420</v>
      </c>
      <c r="BR35" s="5" t="s">
        <v>1427</v>
      </c>
      <c r="BS35" s="5">
        <v>2</v>
      </c>
      <c r="BT35" s="5" t="s">
        <v>1428</v>
      </c>
      <c r="BU35" s="5">
        <v>1</v>
      </c>
      <c r="BV35" s="5" t="s">
        <v>108</v>
      </c>
      <c r="BW35" s="5" t="s">
        <v>1418</v>
      </c>
      <c r="BX35" s="5" t="s">
        <v>191</v>
      </c>
      <c r="BY35" s="5" t="s">
        <v>1429</v>
      </c>
      <c r="BZ35" s="5" t="s">
        <v>1430</v>
      </c>
      <c r="CA35" s="5" t="s">
        <v>149</v>
      </c>
      <c r="CB35" s="5" t="s">
        <v>1431</v>
      </c>
      <c r="CC35" s="5" t="s">
        <v>1431</v>
      </c>
      <c r="CD35" s="5" t="s">
        <v>108</v>
      </c>
      <c r="CE35" s="5" t="s">
        <v>108</v>
      </c>
      <c r="CF35" s="5" t="s">
        <v>108</v>
      </c>
      <c r="CG35" s="5" t="s">
        <v>154</v>
      </c>
      <c r="CH35" s="5" t="s">
        <v>194</v>
      </c>
      <c r="CI35" s="5" t="s">
        <v>152</v>
      </c>
      <c r="CJ35" s="5" t="s">
        <v>494</v>
      </c>
      <c r="CK35" s="5" t="s">
        <v>358</v>
      </c>
      <c r="CL35" s="5" t="s">
        <v>108</v>
      </c>
      <c r="CM35" s="5">
        <f>IFERROR(VLOOKUP($A35,Quality_Appraisal!$A:$P,15,FALSE),"")</f>
        <v>20</v>
      </c>
      <c r="CN35" s="5" t="str">
        <f>IFERROR(VLOOKUP($A35,Quality_Appraisal!$A:$P,16,FALSE),"")</f>
        <v>Strong</v>
      </c>
      <c r="CO35" s="5" t="s">
        <v>156</v>
      </c>
      <c r="CP35" s="5" t="s">
        <v>455</v>
      </c>
      <c r="CQ35" s="5" t="s">
        <v>1410</v>
      </c>
      <c r="CR35" s="5" t="s">
        <v>108</v>
      </c>
      <c r="CS35" s="5" t="s">
        <v>427</v>
      </c>
      <c r="CT35" s="5" t="s">
        <v>1410</v>
      </c>
      <c r="CU35" s="5" t="s">
        <v>158</v>
      </c>
      <c r="CV35" s="5" t="s">
        <v>108</v>
      </c>
      <c r="CW35" s="5" t="s">
        <v>1432</v>
      </c>
      <c r="CX35" s="5" t="s">
        <v>108</v>
      </c>
    </row>
    <row r="36" spans="1:102" ht="28.8" customHeight="1">
      <c r="A36" s="5" t="s">
        <v>1433</v>
      </c>
      <c r="B36" s="5" t="s">
        <v>1434</v>
      </c>
      <c r="C36" s="5" t="s">
        <v>1435</v>
      </c>
      <c r="D36" s="5" t="s">
        <v>105</v>
      </c>
      <c r="E36" s="5" t="s">
        <v>106</v>
      </c>
      <c r="F36" s="5" t="s">
        <v>2693</v>
      </c>
      <c r="G36" s="5" t="s">
        <v>2740</v>
      </c>
      <c r="H36" s="5">
        <v>4</v>
      </c>
      <c r="I36" s="5" t="s">
        <v>109</v>
      </c>
      <c r="J36" s="5" t="s">
        <v>1436</v>
      </c>
      <c r="K36" s="5" t="s">
        <v>1437</v>
      </c>
      <c r="L36" s="5" t="s">
        <v>1438</v>
      </c>
      <c r="M36" s="5" t="s">
        <v>941</v>
      </c>
      <c r="N36" s="5" t="s">
        <v>108</v>
      </c>
      <c r="O36" s="5" t="s">
        <v>1439</v>
      </c>
      <c r="P36" s="5" t="s">
        <v>1312</v>
      </c>
      <c r="Q36" s="5" t="s">
        <v>115</v>
      </c>
      <c r="R36" s="5" t="s">
        <v>108</v>
      </c>
      <c r="S36" s="5" t="s">
        <v>108</v>
      </c>
      <c r="T36" s="5" t="s">
        <v>117</v>
      </c>
      <c r="U36" s="5">
        <v>5</v>
      </c>
      <c r="V36" s="5" t="s">
        <v>118</v>
      </c>
      <c r="W36" s="5" t="s">
        <v>1437</v>
      </c>
      <c r="X36" s="5" t="s">
        <v>119</v>
      </c>
      <c r="Y36" s="5" t="s">
        <v>1440</v>
      </c>
      <c r="Z36" s="5" t="s">
        <v>121</v>
      </c>
      <c r="AA36" s="5" t="s">
        <v>1441</v>
      </c>
      <c r="AB36" s="5" t="s">
        <v>108</v>
      </c>
      <c r="AC36" s="5" t="s">
        <v>108</v>
      </c>
      <c r="AD36" s="5" t="s">
        <v>1442</v>
      </c>
      <c r="AE36" s="5" t="s">
        <v>1443</v>
      </c>
      <c r="AF36" s="5" t="s">
        <v>1442</v>
      </c>
      <c r="AG36" s="5" t="s">
        <v>108</v>
      </c>
      <c r="AH36" s="5" t="s">
        <v>125</v>
      </c>
      <c r="AI36" s="5" t="s">
        <v>126</v>
      </c>
      <c r="AJ36" s="5" t="s">
        <v>271</v>
      </c>
      <c r="AK36" s="5" t="s">
        <v>271</v>
      </c>
      <c r="AL36" s="5" t="s">
        <v>128</v>
      </c>
      <c r="AM36" s="5" t="s">
        <v>129</v>
      </c>
      <c r="AN36" s="5" t="s">
        <v>272</v>
      </c>
      <c r="AO36" s="5" t="s">
        <v>272</v>
      </c>
      <c r="AP36" s="5" t="s">
        <v>1444</v>
      </c>
      <c r="AQ36" s="5" t="s">
        <v>511</v>
      </c>
      <c r="AR36" s="5" t="s">
        <v>511</v>
      </c>
      <c r="AS36" s="5" t="s">
        <v>108</v>
      </c>
      <c r="AT36" s="5" t="s">
        <v>1445</v>
      </c>
      <c r="AU36" s="5" t="s">
        <v>108</v>
      </c>
      <c r="AV36" s="5" t="s">
        <v>1446</v>
      </c>
      <c r="AW36" s="5" t="s">
        <v>1444</v>
      </c>
      <c r="AX36" s="5" t="s">
        <v>108</v>
      </c>
      <c r="AY36" s="5" t="s">
        <v>108</v>
      </c>
      <c r="AZ36" s="5" t="s">
        <v>1447</v>
      </c>
      <c r="BA36" s="5" t="s">
        <v>1448</v>
      </c>
      <c r="BB36" s="5" t="s">
        <v>1449</v>
      </c>
      <c r="BC36" s="5" t="s">
        <v>1450</v>
      </c>
      <c r="BD36" s="5" t="s">
        <v>1451</v>
      </c>
      <c r="BE36" s="5" t="s">
        <v>1452</v>
      </c>
      <c r="BF36" s="5" t="s">
        <v>1453</v>
      </c>
      <c r="BG36" s="5" t="s">
        <v>1454</v>
      </c>
      <c r="BH36" s="5" t="s">
        <v>1455</v>
      </c>
      <c r="BI36" s="5" t="s">
        <v>1456</v>
      </c>
      <c r="BJ36" s="5" t="s">
        <v>1457</v>
      </c>
      <c r="BK36" s="5" t="s">
        <v>1450</v>
      </c>
      <c r="BL36" s="5" t="s">
        <v>108</v>
      </c>
      <c r="BM36" s="5" t="s">
        <v>1458</v>
      </c>
      <c r="BN36" s="5" t="s">
        <v>1459</v>
      </c>
      <c r="BO36" s="5" t="s">
        <v>1460</v>
      </c>
      <c r="BP36" s="5" t="s">
        <v>1461</v>
      </c>
      <c r="BQ36" s="5" t="s">
        <v>1451</v>
      </c>
      <c r="BR36" s="5" t="s">
        <v>1462</v>
      </c>
      <c r="BS36" s="5">
        <v>1</v>
      </c>
      <c r="BT36" s="5" t="s">
        <v>1460</v>
      </c>
      <c r="BU36" s="5">
        <v>2</v>
      </c>
      <c r="BV36" s="5" t="s">
        <v>108</v>
      </c>
      <c r="BW36" s="5" t="s">
        <v>1448</v>
      </c>
      <c r="BX36" s="5" t="s">
        <v>191</v>
      </c>
      <c r="BY36" s="5" t="s">
        <v>1463</v>
      </c>
      <c r="BZ36" s="5" t="s">
        <v>1464</v>
      </c>
      <c r="CA36" s="5" t="s">
        <v>149</v>
      </c>
      <c r="CB36" s="5" t="s">
        <v>1465</v>
      </c>
      <c r="CC36" s="5" t="s">
        <v>1465</v>
      </c>
      <c r="CD36" s="5" t="s">
        <v>1454</v>
      </c>
      <c r="CE36" s="5" t="s">
        <v>108</v>
      </c>
      <c r="CF36" s="5" t="s">
        <v>1455</v>
      </c>
      <c r="CG36" s="5" t="s">
        <v>152</v>
      </c>
      <c r="CH36" s="5" t="s">
        <v>711</v>
      </c>
      <c r="CI36" s="5" t="s">
        <v>155</v>
      </c>
      <c r="CJ36" s="5" t="s">
        <v>386</v>
      </c>
      <c r="CK36" s="5" t="s">
        <v>271</v>
      </c>
      <c r="CL36" s="5" t="s">
        <v>108</v>
      </c>
      <c r="CM36" s="5">
        <f>IFERROR(VLOOKUP($A36,Quality_Appraisal!$A:$P,15,FALSE),"")</f>
        <v>22</v>
      </c>
      <c r="CN36" s="5" t="str">
        <f>IFERROR(VLOOKUP($A36,Quality_Appraisal!$A:$P,16,FALSE),"")</f>
        <v>Strong</v>
      </c>
      <c r="CO36" s="5" t="s">
        <v>156</v>
      </c>
      <c r="CP36" s="5" t="s">
        <v>157</v>
      </c>
      <c r="CQ36" s="5" t="s">
        <v>1441</v>
      </c>
      <c r="CR36" s="5" t="s">
        <v>108</v>
      </c>
      <c r="CS36" s="5" t="s">
        <v>119</v>
      </c>
      <c r="CT36" s="5" t="s">
        <v>1441</v>
      </c>
      <c r="CU36" s="5" t="s">
        <v>158</v>
      </c>
      <c r="CV36" s="5" t="s">
        <v>108</v>
      </c>
      <c r="CW36" s="5" t="s">
        <v>1466</v>
      </c>
      <c r="CX36" s="5" t="s">
        <v>1467</v>
      </c>
    </row>
    <row r="37" spans="1:102" ht="28.8" customHeight="1">
      <c r="A37" s="5" t="s">
        <v>1468</v>
      </c>
      <c r="B37" s="5" t="s">
        <v>1469</v>
      </c>
      <c r="C37" s="5" t="s">
        <v>1470</v>
      </c>
      <c r="D37" s="5" t="s">
        <v>105</v>
      </c>
      <c r="E37" s="5" t="s">
        <v>106</v>
      </c>
      <c r="F37" s="5" t="s">
        <v>2693</v>
      </c>
      <c r="G37" s="5" t="s">
        <v>2740</v>
      </c>
      <c r="H37" s="5">
        <v>4</v>
      </c>
      <c r="I37" s="5" t="s">
        <v>109</v>
      </c>
      <c r="J37" s="5" t="s">
        <v>108</v>
      </c>
      <c r="K37" s="5" t="s">
        <v>1471</v>
      </c>
      <c r="L37" s="5" t="s">
        <v>1472</v>
      </c>
      <c r="M37" s="5" t="s">
        <v>501</v>
      </c>
      <c r="N37" s="5" t="s">
        <v>1473</v>
      </c>
      <c r="O37" s="5" t="s">
        <v>1474</v>
      </c>
      <c r="P37" s="5" t="s">
        <v>263</v>
      </c>
      <c r="Q37" s="5" t="s">
        <v>115</v>
      </c>
      <c r="R37" s="5" t="s">
        <v>1475</v>
      </c>
      <c r="S37" s="5" t="s">
        <v>1476</v>
      </c>
      <c r="T37" s="5" t="s">
        <v>117</v>
      </c>
      <c r="U37" s="5">
        <v>4</v>
      </c>
      <c r="V37" s="5" t="s">
        <v>1477</v>
      </c>
      <c r="W37" s="5" t="s">
        <v>1471</v>
      </c>
      <c r="X37" s="5" t="s">
        <v>119</v>
      </c>
      <c r="Y37" s="5" t="s">
        <v>1478</v>
      </c>
      <c r="Z37" s="5" t="s">
        <v>121</v>
      </c>
      <c r="AA37" s="5" t="s">
        <v>1479</v>
      </c>
      <c r="AB37" s="5" t="s">
        <v>108</v>
      </c>
      <c r="AC37" s="5" t="s">
        <v>108</v>
      </c>
      <c r="AD37" s="5" t="s">
        <v>431</v>
      </c>
      <c r="AE37" s="5" t="s">
        <v>1480</v>
      </c>
      <c r="AF37" s="5" t="s">
        <v>1475</v>
      </c>
      <c r="AG37" s="5" t="s">
        <v>1476</v>
      </c>
      <c r="AH37" s="5" t="s">
        <v>175</v>
      </c>
      <c r="AI37" s="5" t="s">
        <v>357</v>
      </c>
      <c r="AJ37" s="5" t="s">
        <v>358</v>
      </c>
      <c r="AK37" s="5" t="s">
        <v>358</v>
      </c>
      <c r="AL37" s="5" t="s">
        <v>128</v>
      </c>
      <c r="AM37" s="5" t="s">
        <v>359</v>
      </c>
      <c r="AN37" s="5" t="s">
        <v>1481</v>
      </c>
      <c r="AO37" s="5" t="s">
        <v>1481</v>
      </c>
      <c r="AP37" s="5" t="s">
        <v>1482</v>
      </c>
      <c r="AQ37" s="5" t="s">
        <v>108</v>
      </c>
      <c r="AR37" s="5" t="s">
        <v>431</v>
      </c>
      <c r="AS37" s="5" t="s">
        <v>108</v>
      </c>
      <c r="AT37" s="5" t="s">
        <v>1483</v>
      </c>
      <c r="AU37" s="5" t="s">
        <v>108</v>
      </c>
      <c r="AV37" s="5" t="s">
        <v>1484</v>
      </c>
      <c r="AW37" s="5" t="s">
        <v>1482</v>
      </c>
      <c r="AX37" s="5" t="s">
        <v>108</v>
      </c>
      <c r="AY37" s="5" t="s">
        <v>108</v>
      </c>
      <c r="AZ37" s="5" t="s">
        <v>1485</v>
      </c>
      <c r="BA37" s="5" t="s">
        <v>1486</v>
      </c>
      <c r="BB37" s="5" t="s">
        <v>1487</v>
      </c>
      <c r="BC37" s="5" t="s">
        <v>108</v>
      </c>
      <c r="BD37" s="5" t="s">
        <v>1488</v>
      </c>
      <c r="BE37" s="5" t="s">
        <v>1489</v>
      </c>
      <c r="BF37" s="5" t="s">
        <v>1490</v>
      </c>
      <c r="BG37" s="5" t="s">
        <v>108</v>
      </c>
      <c r="BH37" s="5" t="s">
        <v>1491</v>
      </c>
      <c r="BI37" s="5" t="s">
        <v>1491</v>
      </c>
      <c r="BJ37" s="5" t="s">
        <v>1492</v>
      </c>
      <c r="BK37" s="5" t="s">
        <v>1493</v>
      </c>
      <c r="BL37" s="5" t="s">
        <v>108</v>
      </c>
      <c r="BM37" s="5" t="s">
        <v>1494</v>
      </c>
      <c r="BN37" s="5" t="s">
        <v>1495</v>
      </c>
      <c r="BO37" s="5" t="s">
        <v>108</v>
      </c>
      <c r="BP37" s="5" t="s">
        <v>1496</v>
      </c>
      <c r="BQ37" s="5" t="s">
        <v>1488</v>
      </c>
      <c r="BR37" s="5" t="s">
        <v>1497</v>
      </c>
      <c r="BS37" s="5">
        <v>1</v>
      </c>
      <c r="BT37" s="5" t="s">
        <v>1494</v>
      </c>
      <c r="BU37" s="5">
        <v>1</v>
      </c>
      <c r="BV37" s="5" t="s">
        <v>108</v>
      </c>
      <c r="BW37" s="5" t="s">
        <v>1486</v>
      </c>
      <c r="BX37" s="5" t="s">
        <v>191</v>
      </c>
      <c r="BY37" s="5" t="s">
        <v>1498</v>
      </c>
      <c r="BZ37" s="5" t="s">
        <v>1499</v>
      </c>
      <c r="CA37" s="5" t="s">
        <v>149</v>
      </c>
      <c r="CB37" s="5" t="s">
        <v>1500</v>
      </c>
      <c r="CC37" s="5" t="s">
        <v>1500</v>
      </c>
      <c r="CD37" s="5" t="s">
        <v>108</v>
      </c>
      <c r="CE37" s="5" t="s">
        <v>108</v>
      </c>
      <c r="CF37" s="5" t="s">
        <v>1491</v>
      </c>
      <c r="CG37" s="5" t="s">
        <v>152</v>
      </c>
      <c r="CH37" s="5" t="s">
        <v>155</v>
      </c>
      <c r="CI37" s="5" t="s">
        <v>418</v>
      </c>
      <c r="CJ37" s="5" t="s">
        <v>194</v>
      </c>
      <c r="CK37" s="5" t="s">
        <v>358</v>
      </c>
      <c r="CL37" s="5" t="s">
        <v>108</v>
      </c>
      <c r="CM37" s="5">
        <f>IFERROR(VLOOKUP($A37,Quality_Appraisal!$A:$P,15,FALSE),"")</f>
        <v>20</v>
      </c>
      <c r="CN37" s="5" t="str">
        <f>IFERROR(VLOOKUP($A37,Quality_Appraisal!$A:$P,16,FALSE),"")</f>
        <v>Strong</v>
      </c>
      <c r="CO37" s="5" t="s">
        <v>1501</v>
      </c>
      <c r="CP37" s="5" t="s">
        <v>157</v>
      </c>
      <c r="CQ37" s="5" t="s">
        <v>1479</v>
      </c>
      <c r="CR37" s="5" t="s">
        <v>108</v>
      </c>
      <c r="CS37" s="5" t="s">
        <v>119</v>
      </c>
      <c r="CT37" s="5" t="s">
        <v>1479</v>
      </c>
      <c r="CU37" s="5" t="s">
        <v>158</v>
      </c>
      <c r="CV37" s="5" t="s">
        <v>108</v>
      </c>
      <c r="CW37" s="5" t="s">
        <v>1502</v>
      </c>
      <c r="CX37" s="5" t="s">
        <v>108</v>
      </c>
    </row>
    <row r="38" spans="1:102" ht="28.8" customHeight="1">
      <c r="A38" s="5" t="s">
        <v>1503</v>
      </c>
      <c r="B38" s="5" t="s">
        <v>1504</v>
      </c>
      <c r="C38" s="5" t="s">
        <v>1505</v>
      </c>
      <c r="D38" s="5" t="s">
        <v>105</v>
      </c>
      <c r="E38" s="5" t="s">
        <v>106</v>
      </c>
      <c r="F38" s="5" t="s">
        <v>2693</v>
      </c>
      <c r="G38" s="5" t="s">
        <v>2740</v>
      </c>
      <c r="H38" s="5">
        <v>4</v>
      </c>
      <c r="I38" s="5" t="s">
        <v>109</v>
      </c>
      <c r="J38" s="5" t="s">
        <v>108</v>
      </c>
      <c r="K38" s="5" t="s">
        <v>1506</v>
      </c>
      <c r="L38" s="5" t="s">
        <v>1507</v>
      </c>
      <c r="M38" s="5" t="s">
        <v>112</v>
      </c>
      <c r="N38" s="5" t="s">
        <v>108</v>
      </c>
      <c r="O38" s="5" t="s">
        <v>108</v>
      </c>
      <c r="P38" s="5" t="s">
        <v>349</v>
      </c>
      <c r="Q38" s="5" t="s">
        <v>115</v>
      </c>
      <c r="R38" s="5" t="s">
        <v>108</v>
      </c>
      <c r="S38" s="5" t="s">
        <v>1508</v>
      </c>
      <c r="T38" s="5" t="s">
        <v>117</v>
      </c>
      <c r="U38" s="5">
        <v>5</v>
      </c>
      <c r="V38" s="5" t="s">
        <v>118</v>
      </c>
      <c r="W38" s="5" t="s">
        <v>1506</v>
      </c>
      <c r="X38" s="5" t="s">
        <v>1509</v>
      </c>
      <c r="Y38" s="5" t="s">
        <v>1510</v>
      </c>
      <c r="Z38" s="5" t="s">
        <v>121</v>
      </c>
      <c r="AA38" s="5" t="s">
        <v>1511</v>
      </c>
      <c r="AB38" s="5" t="s">
        <v>108</v>
      </c>
      <c r="AC38" s="5" t="s">
        <v>1512</v>
      </c>
      <c r="AD38" s="5" t="s">
        <v>431</v>
      </c>
      <c r="AE38" s="5" t="s">
        <v>1513</v>
      </c>
      <c r="AF38" s="5" t="s">
        <v>431</v>
      </c>
      <c r="AG38" s="5" t="s">
        <v>1508</v>
      </c>
      <c r="AH38" s="5" t="s">
        <v>125</v>
      </c>
      <c r="AI38" s="5" t="s">
        <v>126</v>
      </c>
      <c r="AJ38" s="5" t="s">
        <v>314</v>
      </c>
      <c r="AK38" s="5" t="s">
        <v>108</v>
      </c>
      <c r="AL38" s="5" t="s">
        <v>315</v>
      </c>
      <c r="AM38" s="5" t="s">
        <v>108</v>
      </c>
      <c r="AN38" s="5" t="s">
        <v>221</v>
      </c>
      <c r="AO38" s="5" t="s">
        <v>221</v>
      </c>
      <c r="AP38" s="5" t="s">
        <v>1514</v>
      </c>
      <c r="AQ38" s="5" t="s">
        <v>1515</v>
      </c>
      <c r="AR38" s="5" t="s">
        <v>1515</v>
      </c>
      <c r="AS38" s="5" t="s">
        <v>108</v>
      </c>
      <c r="AT38" s="5" t="s">
        <v>1516</v>
      </c>
      <c r="AU38" s="5" t="s">
        <v>108</v>
      </c>
      <c r="AV38" s="5" t="s">
        <v>1517</v>
      </c>
      <c r="AW38" s="5" t="s">
        <v>1514</v>
      </c>
      <c r="AX38" s="5" t="s">
        <v>108</v>
      </c>
      <c r="AY38" s="5" t="s">
        <v>108</v>
      </c>
      <c r="AZ38" s="5" t="s">
        <v>1518</v>
      </c>
      <c r="BA38" s="5" t="s">
        <v>108</v>
      </c>
      <c r="BB38" s="5" t="s">
        <v>1519</v>
      </c>
      <c r="BC38" s="5" t="s">
        <v>108</v>
      </c>
      <c r="BD38" s="5" t="s">
        <v>1520</v>
      </c>
      <c r="BE38" s="5" t="s">
        <v>1521</v>
      </c>
      <c r="BF38" s="5" t="s">
        <v>1522</v>
      </c>
      <c r="BG38" s="5" t="s">
        <v>1523</v>
      </c>
      <c r="BH38" s="5" t="s">
        <v>1524</v>
      </c>
      <c r="BI38" s="5" t="s">
        <v>1518</v>
      </c>
      <c r="BJ38" s="5" t="s">
        <v>1525</v>
      </c>
      <c r="BK38" s="5" t="s">
        <v>1526</v>
      </c>
      <c r="BL38" s="5" t="s">
        <v>1525</v>
      </c>
      <c r="BM38" s="5" t="s">
        <v>1516</v>
      </c>
      <c r="BN38" s="5" t="s">
        <v>1518</v>
      </c>
      <c r="BO38" s="5" t="s">
        <v>1527</v>
      </c>
      <c r="BP38" s="5" t="s">
        <v>1528</v>
      </c>
      <c r="BQ38" s="5" t="s">
        <v>1520</v>
      </c>
      <c r="BR38" s="5" t="s">
        <v>1529</v>
      </c>
      <c r="BS38" s="5">
        <v>2</v>
      </c>
      <c r="BT38" s="5" t="s">
        <v>1530</v>
      </c>
      <c r="BU38" s="5">
        <v>2</v>
      </c>
      <c r="BV38" s="5" t="s">
        <v>108</v>
      </c>
      <c r="BW38" s="5" t="s">
        <v>108</v>
      </c>
      <c r="BX38" s="5" t="s">
        <v>191</v>
      </c>
      <c r="BY38" s="5" t="s">
        <v>1531</v>
      </c>
      <c r="BZ38" s="5" t="s">
        <v>1532</v>
      </c>
      <c r="CA38" s="5" t="s">
        <v>337</v>
      </c>
      <c r="CB38" s="5" t="s">
        <v>1533</v>
      </c>
      <c r="CC38" s="5" t="s">
        <v>1533</v>
      </c>
      <c r="CD38" s="5" t="s">
        <v>1534</v>
      </c>
      <c r="CE38" s="5" t="s">
        <v>108</v>
      </c>
      <c r="CF38" s="5" t="s">
        <v>1524</v>
      </c>
      <c r="CG38" s="5" t="s">
        <v>155</v>
      </c>
      <c r="CH38" s="5" t="s">
        <v>251</v>
      </c>
      <c r="CI38" s="5" t="s">
        <v>154</v>
      </c>
      <c r="CJ38" s="5" t="s">
        <v>152</v>
      </c>
      <c r="CK38" s="5" t="s">
        <v>108</v>
      </c>
      <c r="CL38" s="5" t="s">
        <v>108</v>
      </c>
      <c r="CM38" s="5">
        <f>IFERROR(VLOOKUP($A38,Quality_Appraisal!$A:$P,15,FALSE),"")</f>
        <v>18</v>
      </c>
      <c r="CN38" s="5" t="str">
        <f>IFERROR(VLOOKUP($A38,Quality_Appraisal!$A:$P,16,FALSE),"")</f>
        <v>Moderate</v>
      </c>
      <c r="CO38" s="5" t="s">
        <v>156</v>
      </c>
      <c r="CP38" s="5" t="s">
        <v>455</v>
      </c>
      <c r="CQ38" s="5" t="s">
        <v>1511</v>
      </c>
      <c r="CR38" s="5" t="s">
        <v>108</v>
      </c>
      <c r="CS38" s="5" t="s">
        <v>1509</v>
      </c>
      <c r="CT38" s="5" t="s">
        <v>1511</v>
      </c>
      <c r="CU38" s="5" t="s">
        <v>158</v>
      </c>
      <c r="CV38" s="5" t="s">
        <v>108</v>
      </c>
      <c r="CW38" s="5" t="s">
        <v>1535</v>
      </c>
      <c r="CX38" s="5" t="s">
        <v>108</v>
      </c>
    </row>
    <row r="39" spans="1:102" ht="28.8" customHeight="1">
      <c r="A39" s="5" t="s">
        <v>1536</v>
      </c>
      <c r="B39" s="5" t="s">
        <v>1537</v>
      </c>
      <c r="C39" s="5" t="s">
        <v>1538</v>
      </c>
      <c r="D39" s="5" t="s">
        <v>105</v>
      </c>
      <c r="E39" s="5" t="s">
        <v>106</v>
      </c>
      <c r="F39" s="5" t="s">
        <v>2693</v>
      </c>
      <c r="G39" s="5" t="s">
        <v>2740</v>
      </c>
      <c r="H39" s="5">
        <v>4</v>
      </c>
      <c r="I39" s="5" t="s">
        <v>109</v>
      </c>
      <c r="J39" s="5" t="s">
        <v>1539</v>
      </c>
      <c r="K39" s="5" t="s">
        <v>1540</v>
      </c>
      <c r="L39" s="5" t="s">
        <v>1541</v>
      </c>
      <c r="M39" s="5" t="s">
        <v>347</v>
      </c>
      <c r="N39" s="5" t="s">
        <v>113</v>
      </c>
      <c r="O39" s="5" t="s">
        <v>1542</v>
      </c>
      <c r="P39" s="5" t="s">
        <v>1312</v>
      </c>
      <c r="Q39" s="5" t="s">
        <v>115</v>
      </c>
      <c r="R39" s="5" t="s">
        <v>1543</v>
      </c>
      <c r="S39" s="5" t="s">
        <v>1544</v>
      </c>
      <c r="T39" s="5" t="s">
        <v>352</v>
      </c>
      <c r="U39" s="5">
        <v>1</v>
      </c>
      <c r="V39" s="5" t="s">
        <v>353</v>
      </c>
      <c r="W39" s="5" t="s">
        <v>1540</v>
      </c>
      <c r="X39" s="5" t="s">
        <v>119</v>
      </c>
      <c r="Y39" s="5" t="s">
        <v>1545</v>
      </c>
      <c r="Z39" s="5" t="s">
        <v>121</v>
      </c>
      <c r="AA39" s="5" t="s">
        <v>1546</v>
      </c>
      <c r="AB39" s="5" t="s">
        <v>108</v>
      </c>
      <c r="AC39" s="5" t="s">
        <v>108</v>
      </c>
      <c r="AD39" s="5" t="s">
        <v>108</v>
      </c>
      <c r="AE39" s="5" t="s">
        <v>108</v>
      </c>
      <c r="AF39" s="5" t="s">
        <v>1543</v>
      </c>
      <c r="AG39" s="5" t="s">
        <v>1544</v>
      </c>
      <c r="AH39" s="5" t="s">
        <v>125</v>
      </c>
      <c r="AI39" s="5" t="s">
        <v>126</v>
      </c>
      <c r="AJ39" s="5" t="s">
        <v>314</v>
      </c>
      <c r="AK39" s="5" t="s">
        <v>108</v>
      </c>
      <c r="AL39" s="5" t="s">
        <v>315</v>
      </c>
      <c r="AM39" s="5" t="s">
        <v>108</v>
      </c>
      <c r="AN39" s="5" t="s">
        <v>1547</v>
      </c>
      <c r="AO39" s="5" t="s">
        <v>1547</v>
      </c>
      <c r="AP39" s="5" t="s">
        <v>1548</v>
      </c>
      <c r="AQ39" s="5" t="s">
        <v>108</v>
      </c>
      <c r="AR39" s="5" t="s">
        <v>108</v>
      </c>
      <c r="AS39" s="5" t="s">
        <v>1549</v>
      </c>
      <c r="AT39" s="5" t="s">
        <v>1550</v>
      </c>
      <c r="AU39" s="5" t="s">
        <v>108</v>
      </c>
      <c r="AV39" s="5" t="s">
        <v>108</v>
      </c>
      <c r="AW39" s="5" t="s">
        <v>1548</v>
      </c>
      <c r="AX39" s="5" t="s">
        <v>108</v>
      </c>
      <c r="AY39" s="5" t="s">
        <v>108</v>
      </c>
      <c r="AZ39" s="5" t="s">
        <v>1551</v>
      </c>
      <c r="BA39" s="5" t="s">
        <v>1552</v>
      </c>
      <c r="BB39" s="5" t="s">
        <v>1553</v>
      </c>
      <c r="BC39" s="5" t="s">
        <v>1554</v>
      </c>
      <c r="BD39" s="5" t="s">
        <v>1546</v>
      </c>
      <c r="BE39" s="5" t="s">
        <v>1555</v>
      </c>
      <c r="BF39" s="5" t="s">
        <v>1556</v>
      </c>
      <c r="BG39" s="5" t="s">
        <v>108</v>
      </c>
      <c r="BH39" s="5" t="s">
        <v>1557</v>
      </c>
      <c r="BI39" s="5" t="s">
        <v>1558</v>
      </c>
      <c r="BJ39" s="5" t="s">
        <v>1559</v>
      </c>
      <c r="BK39" s="5" t="s">
        <v>1560</v>
      </c>
      <c r="BL39" s="5" t="s">
        <v>108</v>
      </c>
      <c r="BM39" s="5" t="s">
        <v>1561</v>
      </c>
      <c r="BN39" s="5" t="s">
        <v>1562</v>
      </c>
      <c r="BO39" s="5" t="s">
        <v>1563</v>
      </c>
      <c r="BP39" s="5" t="s">
        <v>1564</v>
      </c>
      <c r="BQ39" s="5" t="s">
        <v>1546</v>
      </c>
      <c r="BR39" s="5" t="s">
        <v>1562</v>
      </c>
      <c r="BS39" s="5">
        <v>1</v>
      </c>
      <c r="BT39" s="5" t="s">
        <v>1565</v>
      </c>
      <c r="BU39" s="5">
        <v>6</v>
      </c>
      <c r="BV39" s="5" t="s">
        <v>108</v>
      </c>
      <c r="BW39" s="5" t="s">
        <v>1552</v>
      </c>
      <c r="BX39" s="5" t="s">
        <v>191</v>
      </c>
      <c r="BY39" s="5" t="s">
        <v>415</v>
      </c>
      <c r="BZ39" s="5" t="s">
        <v>1566</v>
      </c>
      <c r="CA39" s="5" t="s">
        <v>337</v>
      </c>
      <c r="CB39" s="5" t="s">
        <v>1567</v>
      </c>
      <c r="CC39" s="5" t="s">
        <v>1567</v>
      </c>
      <c r="CD39" s="5" t="s">
        <v>108</v>
      </c>
      <c r="CE39" s="5" t="s">
        <v>108</v>
      </c>
      <c r="CF39" s="5" t="s">
        <v>1557</v>
      </c>
      <c r="CG39" s="5" t="s">
        <v>152</v>
      </c>
      <c r="CH39" s="5" t="s">
        <v>154</v>
      </c>
      <c r="CI39" s="5" t="s">
        <v>155</v>
      </c>
      <c r="CJ39" s="5" t="s">
        <v>711</v>
      </c>
      <c r="CK39" s="5" t="s">
        <v>108</v>
      </c>
      <c r="CL39" s="5" t="s">
        <v>108</v>
      </c>
      <c r="CM39" s="5">
        <f>IFERROR(VLOOKUP($A39,Quality_Appraisal!$A:$P,15,FALSE),"")</f>
        <v>16</v>
      </c>
      <c r="CN39" s="5" t="str">
        <f>IFERROR(VLOOKUP($A39,Quality_Appraisal!$A:$P,16,FALSE),"")</f>
        <v>Moderate</v>
      </c>
      <c r="CO39" s="5" t="s">
        <v>352</v>
      </c>
      <c r="CP39" s="5" t="s">
        <v>157</v>
      </c>
      <c r="CQ39" s="5" t="s">
        <v>1546</v>
      </c>
      <c r="CR39" s="5" t="s">
        <v>108</v>
      </c>
      <c r="CS39" s="5" t="s">
        <v>119</v>
      </c>
      <c r="CT39" s="5" t="s">
        <v>1546</v>
      </c>
      <c r="CU39" s="5" t="s">
        <v>158</v>
      </c>
      <c r="CV39" s="5" t="s">
        <v>108</v>
      </c>
      <c r="CW39" s="5" t="s">
        <v>1568</v>
      </c>
      <c r="CX39" s="5" t="s">
        <v>1569</v>
      </c>
    </row>
    <row r="40" spans="1:102" ht="28.8" customHeight="1">
      <c r="A40" s="5" t="s">
        <v>1570</v>
      </c>
      <c r="B40" s="5" t="s">
        <v>1571</v>
      </c>
      <c r="C40" s="5" t="s">
        <v>1572</v>
      </c>
      <c r="D40" s="5" t="s">
        <v>105</v>
      </c>
      <c r="E40" s="5" t="s">
        <v>106</v>
      </c>
      <c r="F40" s="5" t="s">
        <v>2693</v>
      </c>
      <c r="G40" s="5" t="s">
        <v>2740</v>
      </c>
      <c r="H40" s="5">
        <v>4</v>
      </c>
      <c r="I40" s="5" t="s">
        <v>109</v>
      </c>
      <c r="J40" s="5" t="s">
        <v>1573</v>
      </c>
      <c r="K40" s="5" t="s">
        <v>1574</v>
      </c>
      <c r="L40" s="5" t="s">
        <v>1575</v>
      </c>
      <c r="M40" s="5" t="s">
        <v>941</v>
      </c>
      <c r="N40" s="5" t="s">
        <v>616</v>
      </c>
      <c r="O40" s="5" t="s">
        <v>1576</v>
      </c>
      <c r="P40" s="5" t="s">
        <v>1312</v>
      </c>
      <c r="Q40" s="5" t="s">
        <v>115</v>
      </c>
      <c r="R40" s="5" t="s">
        <v>108</v>
      </c>
      <c r="S40" s="5" t="s">
        <v>1577</v>
      </c>
      <c r="T40" s="5" t="s">
        <v>117</v>
      </c>
      <c r="U40" s="5">
        <v>5</v>
      </c>
      <c r="V40" s="5" t="s">
        <v>118</v>
      </c>
      <c r="W40" s="5" t="s">
        <v>1574</v>
      </c>
      <c r="X40" s="5" t="s">
        <v>427</v>
      </c>
      <c r="Y40" s="5" t="s">
        <v>1578</v>
      </c>
      <c r="Z40" s="5" t="s">
        <v>121</v>
      </c>
      <c r="AA40" s="5" t="s">
        <v>1579</v>
      </c>
      <c r="AB40" s="5" t="s">
        <v>1580</v>
      </c>
      <c r="AC40" s="5" t="s">
        <v>108</v>
      </c>
      <c r="AD40" s="5" t="s">
        <v>1238</v>
      </c>
      <c r="AE40" s="5" t="s">
        <v>108</v>
      </c>
      <c r="AF40" s="5" t="s">
        <v>1238</v>
      </c>
      <c r="AG40" s="5" t="s">
        <v>1577</v>
      </c>
      <c r="AH40" s="5" t="s">
        <v>125</v>
      </c>
      <c r="AI40" s="5" t="s">
        <v>126</v>
      </c>
      <c r="AJ40" s="5" t="s">
        <v>271</v>
      </c>
      <c r="AK40" s="5" t="s">
        <v>271</v>
      </c>
      <c r="AL40" s="5" t="s">
        <v>128</v>
      </c>
      <c r="AM40" s="5" t="s">
        <v>129</v>
      </c>
      <c r="AN40" s="5" t="s">
        <v>108</v>
      </c>
      <c r="AO40" s="5" t="s">
        <v>108</v>
      </c>
      <c r="AP40" s="5" t="s">
        <v>1580</v>
      </c>
      <c r="AQ40" s="5" t="s">
        <v>511</v>
      </c>
      <c r="AR40" s="5" t="s">
        <v>511</v>
      </c>
      <c r="AS40" s="5" t="s">
        <v>1581</v>
      </c>
      <c r="AT40" s="5" t="s">
        <v>1582</v>
      </c>
      <c r="AU40" s="5" t="s">
        <v>1583</v>
      </c>
      <c r="AV40" s="5" t="s">
        <v>1584</v>
      </c>
      <c r="AW40" s="5" t="s">
        <v>1580</v>
      </c>
      <c r="AX40" s="5" t="s">
        <v>108</v>
      </c>
      <c r="AY40" s="5" t="s">
        <v>108</v>
      </c>
      <c r="AZ40" s="5" t="s">
        <v>1585</v>
      </c>
      <c r="BA40" s="5" t="s">
        <v>1586</v>
      </c>
      <c r="BB40" s="5" t="s">
        <v>1580</v>
      </c>
      <c r="BC40" s="5" t="s">
        <v>1587</v>
      </c>
      <c r="BD40" s="5" t="s">
        <v>1588</v>
      </c>
      <c r="BE40" s="5" t="s">
        <v>1589</v>
      </c>
      <c r="BF40" s="5" t="s">
        <v>1590</v>
      </c>
      <c r="BG40" s="5" t="s">
        <v>108</v>
      </c>
      <c r="BH40" s="5" t="s">
        <v>1591</v>
      </c>
      <c r="BI40" s="5" t="s">
        <v>1592</v>
      </c>
      <c r="BJ40" s="5" t="s">
        <v>1593</v>
      </c>
      <c r="BK40" s="5" t="s">
        <v>1594</v>
      </c>
      <c r="BL40" s="5" t="s">
        <v>1595</v>
      </c>
      <c r="BM40" s="5" t="s">
        <v>1596</v>
      </c>
      <c r="BN40" s="5" t="s">
        <v>1597</v>
      </c>
      <c r="BO40" s="5" t="s">
        <v>1598</v>
      </c>
      <c r="BP40" s="5" t="s">
        <v>1599</v>
      </c>
      <c r="BQ40" s="5" t="s">
        <v>1588</v>
      </c>
      <c r="BR40" s="5" t="s">
        <v>1600</v>
      </c>
      <c r="BS40" s="5">
        <v>4</v>
      </c>
      <c r="BT40" s="5" t="s">
        <v>1597</v>
      </c>
      <c r="BU40" s="5">
        <v>1</v>
      </c>
      <c r="BV40" s="5" t="s">
        <v>108</v>
      </c>
      <c r="BW40" s="5" t="s">
        <v>1586</v>
      </c>
      <c r="BX40" s="5" t="s">
        <v>191</v>
      </c>
      <c r="BY40" s="5" t="s">
        <v>1601</v>
      </c>
      <c r="BZ40" s="5" t="s">
        <v>1602</v>
      </c>
      <c r="CA40" s="5" t="s">
        <v>248</v>
      </c>
      <c r="CB40" s="5" t="s">
        <v>1602</v>
      </c>
      <c r="CC40" s="5" t="s">
        <v>108</v>
      </c>
      <c r="CD40" s="5" t="s">
        <v>1603</v>
      </c>
      <c r="CE40" s="5" t="s">
        <v>108</v>
      </c>
      <c r="CF40" s="5" t="s">
        <v>1591</v>
      </c>
      <c r="CG40" s="5" t="s">
        <v>154</v>
      </c>
      <c r="CH40" s="5" t="s">
        <v>152</v>
      </c>
      <c r="CI40" s="5" t="s">
        <v>194</v>
      </c>
      <c r="CJ40" s="5" t="s">
        <v>530</v>
      </c>
      <c r="CK40" s="5" t="s">
        <v>271</v>
      </c>
      <c r="CL40" s="5" t="s">
        <v>108</v>
      </c>
      <c r="CM40" s="5">
        <f>IFERROR(VLOOKUP($A40,Quality_Appraisal!$A:$P,15,FALSE),"")</f>
        <v>24</v>
      </c>
      <c r="CN40" s="5" t="str">
        <f>IFERROR(VLOOKUP($A40,Quality_Appraisal!$A:$P,16,FALSE),"")</f>
        <v>Strong</v>
      </c>
      <c r="CO40" s="5" t="s">
        <v>156</v>
      </c>
      <c r="CP40" s="5" t="s">
        <v>455</v>
      </c>
      <c r="CQ40" s="5" t="s">
        <v>1579</v>
      </c>
      <c r="CR40" s="5" t="s">
        <v>108</v>
      </c>
      <c r="CS40" s="5" t="s">
        <v>427</v>
      </c>
      <c r="CT40" s="5" t="s">
        <v>1579</v>
      </c>
      <c r="CU40" s="5" t="s">
        <v>253</v>
      </c>
      <c r="CV40" s="5" t="s">
        <v>108</v>
      </c>
      <c r="CW40" s="5" t="s">
        <v>1604</v>
      </c>
      <c r="CX40" s="5" t="s">
        <v>1605</v>
      </c>
    </row>
    <row r="41" spans="1:102" ht="28.8" customHeight="1">
      <c r="A41" s="5" t="s">
        <v>1606</v>
      </c>
      <c r="B41" s="5" t="s">
        <v>1607</v>
      </c>
      <c r="C41" s="5" t="s">
        <v>1608</v>
      </c>
      <c r="D41" s="5" t="s">
        <v>105</v>
      </c>
      <c r="E41" s="5" t="s">
        <v>106</v>
      </c>
      <c r="F41" s="5" t="s">
        <v>2693</v>
      </c>
      <c r="G41" s="5" t="s">
        <v>2740</v>
      </c>
      <c r="H41" s="5">
        <v>4</v>
      </c>
      <c r="I41" s="5" t="s">
        <v>109</v>
      </c>
      <c r="J41" s="5" t="s">
        <v>108</v>
      </c>
      <c r="K41" s="5" t="s">
        <v>1609</v>
      </c>
      <c r="L41" s="5" t="s">
        <v>1610</v>
      </c>
      <c r="M41" s="5" t="s">
        <v>1611</v>
      </c>
      <c r="N41" s="5" t="s">
        <v>206</v>
      </c>
      <c r="O41" s="5" t="s">
        <v>108</v>
      </c>
      <c r="P41" s="5" t="s">
        <v>108</v>
      </c>
      <c r="Q41" s="5" t="s">
        <v>115</v>
      </c>
      <c r="R41" s="5" t="s">
        <v>1612</v>
      </c>
      <c r="S41" s="5" t="s">
        <v>108</v>
      </c>
      <c r="T41" s="5" t="s">
        <v>117</v>
      </c>
      <c r="U41" s="5">
        <v>5</v>
      </c>
      <c r="V41" s="5" t="s">
        <v>118</v>
      </c>
      <c r="W41" s="5" t="s">
        <v>1609</v>
      </c>
      <c r="X41" s="5" t="s">
        <v>119</v>
      </c>
      <c r="Y41" s="5" t="s">
        <v>1613</v>
      </c>
      <c r="Z41" s="5" t="s">
        <v>121</v>
      </c>
      <c r="AA41" s="5" t="s">
        <v>1614</v>
      </c>
      <c r="AB41" s="5" t="s">
        <v>108</v>
      </c>
      <c r="AC41" s="5" t="s">
        <v>1615</v>
      </c>
      <c r="AD41" s="5" t="s">
        <v>431</v>
      </c>
      <c r="AE41" s="5" t="s">
        <v>1616</v>
      </c>
      <c r="AF41" s="5" t="s">
        <v>1612</v>
      </c>
      <c r="AG41" s="5" t="s">
        <v>108</v>
      </c>
      <c r="AH41" s="5" t="s">
        <v>175</v>
      </c>
      <c r="AI41" s="5" t="s">
        <v>176</v>
      </c>
      <c r="AJ41" s="5" t="s">
        <v>398</v>
      </c>
      <c r="AK41" s="5" t="s">
        <v>398</v>
      </c>
      <c r="AL41" s="5" t="s">
        <v>128</v>
      </c>
      <c r="AM41" s="5" t="s">
        <v>108</v>
      </c>
      <c r="AN41" s="5" t="s">
        <v>108</v>
      </c>
      <c r="AO41" s="5" t="s">
        <v>108</v>
      </c>
      <c r="AP41" s="5" t="s">
        <v>1617</v>
      </c>
      <c r="AQ41" s="5" t="s">
        <v>108</v>
      </c>
      <c r="AR41" s="5" t="s">
        <v>431</v>
      </c>
      <c r="AS41" s="5" t="s">
        <v>108</v>
      </c>
      <c r="AT41" s="5" t="s">
        <v>1618</v>
      </c>
      <c r="AU41" s="5" t="s">
        <v>108</v>
      </c>
      <c r="AV41" s="5" t="s">
        <v>1619</v>
      </c>
      <c r="AW41" s="5" t="s">
        <v>1617</v>
      </c>
      <c r="AX41" s="5" t="s">
        <v>108</v>
      </c>
      <c r="AY41" s="5" t="s">
        <v>108</v>
      </c>
      <c r="AZ41" s="5" t="s">
        <v>1620</v>
      </c>
      <c r="BA41" s="5" t="s">
        <v>1621</v>
      </c>
      <c r="BB41" s="5" t="s">
        <v>1622</v>
      </c>
      <c r="BC41" s="5" t="s">
        <v>1623</v>
      </c>
      <c r="BD41" s="5" t="s">
        <v>1624</v>
      </c>
      <c r="BE41" s="5" t="s">
        <v>1625</v>
      </c>
      <c r="BF41" s="5" t="s">
        <v>1626</v>
      </c>
      <c r="BG41" s="5" t="s">
        <v>1627</v>
      </c>
      <c r="BH41" s="5" t="s">
        <v>1628</v>
      </c>
      <c r="BI41" s="5" t="s">
        <v>1629</v>
      </c>
      <c r="BJ41" s="5" t="s">
        <v>1630</v>
      </c>
      <c r="BK41" s="5" t="s">
        <v>1631</v>
      </c>
      <c r="BL41" s="5" t="s">
        <v>1632</v>
      </c>
      <c r="BM41" s="5" t="s">
        <v>1633</v>
      </c>
      <c r="BN41" s="5" t="s">
        <v>1634</v>
      </c>
      <c r="BO41" s="5" t="s">
        <v>1635</v>
      </c>
      <c r="BP41" s="5" t="s">
        <v>1636</v>
      </c>
      <c r="BQ41" s="5" t="s">
        <v>1624</v>
      </c>
      <c r="BR41" s="5" t="s">
        <v>1634</v>
      </c>
      <c r="BS41" s="5">
        <v>1</v>
      </c>
      <c r="BT41" s="5" t="s">
        <v>1637</v>
      </c>
      <c r="BU41" s="5">
        <v>7</v>
      </c>
      <c r="BV41" s="5" t="s">
        <v>108</v>
      </c>
      <c r="BW41" s="5" t="s">
        <v>1621</v>
      </c>
      <c r="BX41" s="5" t="s">
        <v>191</v>
      </c>
      <c r="BY41" s="5" t="s">
        <v>1638</v>
      </c>
      <c r="BZ41" s="5" t="s">
        <v>1639</v>
      </c>
      <c r="CA41" s="5" t="s">
        <v>149</v>
      </c>
      <c r="CB41" s="5" t="s">
        <v>1640</v>
      </c>
      <c r="CC41" s="5" t="s">
        <v>1640</v>
      </c>
      <c r="CD41" s="5" t="s">
        <v>1615</v>
      </c>
      <c r="CE41" s="5" t="s">
        <v>108</v>
      </c>
      <c r="CF41" s="5" t="s">
        <v>1628</v>
      </c>
      <c r="CG41" s="5" t="s">
        <v>152</v>
      </c>
      <c r="CH41" s="5" t="s">
        <v>154</v>
      </c>
      <c r="CI41" s="5" t="s">
        <v>252</v>
      </c>
      <c r="CJ41" s="5" t="s">
        <v>493</v>
      </c>
      <c r="CK41" s="5" t="s">
        <v>398</v>
      </c>
      <c r="CL41" s="5" t="s">
        <v>108</v>
      </c>
      <c r="CM41" s="5">
        <f>IFERROR(VLOOKUP($A41,Quality_Appraisal!$A:$P,15,FALSE),"")</f>
        <v>21</v>
      </c>
      <c r="CN41" s="5" t="str">
        <f>IFERROR(VLOOKUP($A41,Quality_Appraisal!$A:$P,16,FALSE),"")</f>
        <v>Strong</v>
      </c>
      <c r="CO41" s="5" t="s">
        <v>156</v>
      </c>
      <c r="CP41" s="5" t="s">
        <v>157</v>
      </c>
      <c r="CQ41" s="5" t="s">
        <v>1614</v>
      </c>
      <c r="CR41" s="5" t="s">
        <v>108</v>
      </c>
      <c r="CS41" s="5" t="s">
        <v>119</v>
      </c>
      <c r="CT41" s="5" t="s">
        <v>1614</v>
      </c>
      <c r="CU41" s="5" t="s">
        <v>158</v>
      </c>
      <c r="CV41" s="5" t="s">
        <v>108</v>
      </c>
      <c r="CW41" s="5" t="s">
        <v>1641</v>
      </c>
      <c r="CX41" s="5" t="s">
        <v>108</v>
      </c>
    </row>
    <row r="42" spans="1:102" ht="28.8" customHeight="1">
      <c r="A42" s="5" t="s">
        <v>1642</v>
      </c>
      <c r="B42" s="5" t="s">
        <v>1643</v>
      </c>
      <c r="C42" s="5" t="s">
        <v>1644</v>
      </c>
      <c r="D42" s="5" t="s">
        <v>105</v>
      </c>
      <c r="E42" s="5" t="s">
        <v>106</v>
      </c>
      <c r="F42" s="5" t="s">
        <v>2693</v>
      </c>
      <c r="G42" s="5" t="s">
        <v>2740</v>
      </c>
      <c r="H42" s="5">
        <v>4</v>
      </c>
      <c r="I42" s="5" t="s">
        <v>109</v>
      </c>
      <c r="J42" s="5" t="s">
        <v>108</v>
      </c>
      <c r="K42" s="5" t="s">
        <v>1645</v>
      </c>
      <c r="L42" s="5" t="s">
        <v>1646</v>
      </c>
      <c r="M42" s="5" t="s">
        <v>112</v>
      </c>
      <c r="N42" s="5" t="s">
        <v>113</v>
      </c>
      <c r="O42" s="5" t="s">
        <v>1647</v>
      </c>
      <c r="P42" s="5" t="s">
        <v>349</v>
      </c>
      <c r="Q42" s="5" t="s">
        <v>115</v>
      </c>
      <c r="R42" s="5" t="s">
        <v>1648</v>
      </c>
      <c r="S42" s="5" t="s">
        <v>1649</v>
      </c>
      <c r="T42" s="5" t="s">
        <v>117</v>
      </c>
      <c r="U42" s="5">
        <v>5</v>
      </c>
      <c r="V42" s="5" t="s">
        <v>118</v>
      </c>
      <c r="W42" s="5" t="s">
        <v>1645</v>
      </c>
      <c r="X42" s="5" t="s">
        <v>119</v>
      </c>
      <c r="Y42" s="5" t="s">
        <v>1650</v>
      </c>
      <c r="Z42" s="5" t="s">
        <v>121</v>
      </c>
      <c r="AA42" s="5" t="s">
        <v>1651</v>
      </c>
      <c r="AB42" s="5" t="s">
        <v>1652</v>
      </c>
      <c r="AC42" s="5" t="s">
        <v>1652</v>
      </c>
      <c r="AD42" s="5" t="s">
        <v>1653</v>
      </c>
      <c r="AE42" s="5" t="s">
        <v>1654</v>
      </c>
      <c r="AF42" s="5" t="s">
        <v>1648</v>
      </c>
      <c r="AG42" s="5" t="s">
        <v>1649</v>
      </c>
      <c r="AH42" s="5" t="s">
        <v>125</v>
      </c>
      <c r="AI42" s="5" t="s">
        <v>126</v>
      </c>
      <c r="AJ42" s="5" t="s">
        <v>314</v>
      </c>
      <c r="AK42" s="5" t="s">
        <v>108</v>
      </c>
      <c r="AL42" s="5" t="s">
        <v>315</v>
      </c>
      <c r="AM42" s="5" t="s">
        <v>108</v>
      </c>
      <c r="AN42" s="5" t="s">
        <v>360</v>
      </c>
      <c r="AO42" s="5" t="s">
        <v>360</v>
      </c>
      <c r="AP42" s="5" t="s">
        <v>1655</v>
      </c>
      <c r="AQ42" s="5" t="s">
        <v>108</v>
      </c>
      <c r="AR42" s="5" t="s">
        <v>1653</v>
      </c>
      <c r="AS42" s="5" t="s">
        <v>108</v>
      </c>
      <c r="AT42" s="5" t="s">
        <v>108</v>
      </c>
      <c r="AU42" s="5" t="s">
        <v>108</v>
      </c>
      <c r="AV42" s="5" t="s">
        <v>108</v>
      </c>
      <c r="AW42" s="5" t="s">
        <v>1655</v>
      </c>
      <c r="AX42" s="5" t="s">
        <v>108</v>
      </c>
      <c r="AY42" s="5" t="s">
        <v>108</v>
      </c>
      <c r="AZ42" s="5" t="s">
        <v>1656</v>
      </c>
      <c r="BA42" s="5" t="s">
        <v>1657</v>
      </c>
      <c r="BB42" s="5" t="s">
        <v>1658</v>
      </c>
      <c r="BC42" s="5" t="s">
        <v>1659</v>
      </c>
      <c r="BD42" s="5" t="s">
        <v>1660</v>
      </c>
      <c r="BE42" s="5" t="s">
        <v>1661</v>
      </c>
      <c r="BF42" s="5" t="s">
        <v>1662</v>
      </c>
      <c r="BG42" s="5" t="s">
        <v>108</v>
      </c>
      <c r="BH42" s="5" t="s">
        <v>1663</v>
      </c>
      <c r="BI42" s="5" t="s">
        <v>1664</v>
      </c>
      <c r="BJ42" s="5" t="s">
        <v>1665</v>
      </c>
      <c r="BK42" s="5" t="s">
        <v>1659</v>
      </c>
      <c r="BL42" s="5" t="s">
        <v>1666</v>
      </c>
      <c r="BM42" s="5" t="s">
        <v>1654</v>
      </c>
      <c r="BN42" s="5" t="s">
        <v>1652</v>
      </c>
      <c r="BO42" s="5" t="s">
        <v>1667</v>
      </c>
      <c r="BP42" s="5" t="s">
        <v>1668</v>
      </c>
      <c r="BQ42" s="5" t="s">
        <v>1660</v>
      </c>
      <c r="BR42" s="5" t="s">
        <v>1652</v>
      </c>
      <c r="BS42" s="5">
        <v>1</v>
      </c>
      <c r="BT42" s="5" t="s">
        <v>1669</v>
      </c>
      <c r="BU42" s="5">
        <v>7</v>
      </c>
      <c r="BV42" s="5" t="s">
        <v>108</v>
      </c>
      <c r="BW42" s="5" t="s">
        <v>1657</v>
      </c>
      <c r="BX42" s="5" t="s">
        <v>191</v>
      </c>
      <c r="BY42" s="5" t="s">
        <v>1179</v>
      </c>
      <c r="BZ42" s="5" t="s">
        <v>1670</v>
      </c>
      <c r="CA42" s="5" t="s">
        <v>337</v>
      </c>
      <c r="CB42" s="5" t="s">
        <v>1670</v>
      </c>
      <c r="CC42" s="5" t="s">
        <v>108</v>
      </c>
      <c r="CD42" s="5" t="s">
        <v>1663</v>
      </c>
      <c r="CE42" s="5" t="s">
        <v>108</v>
      </c>
      <c r="CF42" s="5" t="s">
        <v>1663</v>
      </c>
      <c r="CG42" s="5" t="s">
        <v>152</v>
      </c>
      <c r="CH42" s="5" t="s">
        <v>154</v>
      </c>
      <c r="CI42" s="5" t="s">
        <v>530</v>
      </c>
      <c r="CJ42" s="5" t="s">
        <v>340</v>
      </c>
      <c r="CK42" s="5" t="s">
        <v>108</v>
      </c>
      <c r="CL42" s="5" t="s">
        <v>108</v>
      </c>
      <c r="CM42" s="5">
        <f>IFERROR(VLOOKUP($A42,Quality_Appraisal!$A:$P,15,FALSE),"")</f>
        <v>19</v>
      </c>
      <c r="CN42" s="5" t="str">
        <f>IFERROR(VLOOKUP($A42,Quality_Appraisal!$A:$P,16,FALSE),"")</f>
        <v>Moderate</v>
      </c>
      <c r="CO42" s="5" t="s">
        <v>156</v>
      </c>
      <c r="CP42" s="5" t="s">
        <v>157</v>
      </c>
      <c r="CQ42" s="5" t="s">
        <v>1651</v>
      </c>
      <c r="CR42" s="5" t="s">
        <v>108</v>
      </c>
      <c r="CS42" s="5" t="s">
        <v>119</v>
      </c>
      <c r="CT42" s="5" t="s">
        <v>1651</v>
      </c>
      <c r="CU42" s="5" t="s">
        <v>158</v>
      </c>
      <c r="CV42" s="5" t="s">
        <v>108</v>
      </c>
      <c r="CW42" s="5" t="s">
        <v>1671</v>
      </c>
      <c r="CX42" s="5" t="s">
        <v>108</v>
      </c>
    </row>
    <row r="43" spans="1:102" ht="28.8" customHeight="1">
      <c r="A43" s="5" t="s">
        <v>1672</v>
      </c>
      <c r="B43" s="5" t="s">
        <v>1673</v>
      </c>
      <c r="C43" s="5" t="s">
        <v>1674</v>
      </c>
      <c r="D43" s="5" t="s">
        <v>105</v>
      </c>
      <c r="E43" s="5" t="s">
        <v>106</v>
      </c>
      <c r="F43" s="5" t="s">
        <v>2693</v>
      </c>
      <c r="G43" s="5" t="s">
        <v>2740</v>
      </c>
      <c r="H43" s="5">
        <v>4</v>
      </c>
      <c r="I43" s="5" t="s">
        <v>109</v>
      </c>
      <c r="J43" s="5" t="s">
        <v>108</v>
      </c>
      <c r="K43" s="5" t="s">
        <v>1675</v>
      </c>
      <c r="L43" s="5" t="s">
        <v>1676</v>
      </c>
      <c r="M43" s="5" t="s">
        <v>112</v>
      </c>
      <c r="N43" s="5" t="s">
        <v>113</v>
      </c>
      <c r="O43" s="5" t="s">
        <v>1677</v>
      </c>
      <c r="P43" s="5" t="s">
        <v>108</v>
      </c>
      <c r="Q43" s="5" t="s">
        <v>115</v>
      </c>
      <c r="R43" s="5" t="s">
        <v>1678</v>
      </c>
      <c r="S43" s="5" t="s">
        <v>1679</v>
      </c>
      <c r="T43" s="5" t="s">
        <v>117</v>
      </c>
      <c r="U43" s="5">
        <v>5</v>
      </c>
      <c r="V43" s="5" t="s">
        <v>118</v>
      </c>
      <c r="W43" s="5" t="s">
        <v>1675</v>
      </c>
      <c r="X43" s="5" t="s">
        <v>427</v>
      </c>
      <c r="Y43" s="5" t="s">
        <v>1680</v>
      </c>
      <c r="Z43" s="5" t="s">
        <v>121</v>
      </c>
      <c r="AA43" s="5" t="s">
        <v>1681</v>
      </c>
      <c r="AB43" s="5" t="s">
        <v>1682</v>
      </c>
      <c r="AC43" s="5" t="s">
        <v>1683</v>
      </c>
      <c r="AD43" s="5" t="s">
        <v>1653</v>
      </c>
      <c r="AE43" s="5" t="s">
        <v>1684</v>
      </c>
      <c r="AF43" s="5" t="s">
        <v>1678</v>
      </c>
      <c r="AG43" s="5" t="s">
        <v>1679</v>
      </c>
      <c r="AH43" s="5" t="s">
        <v>125</v>
      </c>
      <c r="AI43" s="5" t="s">
        <v>126</v>
      </c>
      <c r="AJ43" s="5" t="s">
        <v>271</v>
      </c>
      <c r="AK43" s="5" t="s">
        <v>271</v>
      </c>
      <c r="AL43" s="5" t="s">
        <v>128</v>
      </c>
      <c r="AM43" s="5" t="s">
        <v>129</v>
      </c>
      <c r="AN43" s="5" t="s">
        <v>108</v>
      </c>
      <c r="AO43" s="5" t="s">
        <v>108</v>
      </c>
      <c r="AP43" s="5" t="s">
        <v>1683</v>
      </c>
      <c r="AQ43" s="5" t="s">
        <v>108</v>
      </c>
      <c r="AR43" s="5" t="s">
        <v>1653</v>
      </c>
      <c r="AS43" s="5" t="s">
        <v>1685</v>
      </c>
      <c r="AT43" s="5" t="s">
        <v>1686</v>
      </c>
      <c r="AU43" s="5" t="s">
        <v>108</v>
      </c>
      <c r="AV43" s="5" t="s">
        <v>108</v>
      </c>
      <c r="AW43" s="5" t="s">
        <v>1683</v>
      </c>
      <c r="AX43" s="5" t="s">
        <v>108</v>
      </c>
      <c r="AY43" s="5" t="s">
        <v>108</v>
      </c>
      <c r="AZ43" s="5" t="s">
        <v>1687</v>
      </c>
      <c r="BA43" s="5" t="s">
        <v>1688</v>
      </c>
      <c r="BB43" s="5" t="s">
        <v>1689</v>
      </c>
      <c r="BC43" s="5" t="s">
        <v>1690</v>
      </c>
      <c r="BD43" s="5" t="s">
        <v>1691</v>
      </c>
      <c r="BE43" s="5" t="s">
        <v>1692</v>
      </c>
      <c r="BF43" s="5" t="s">
        <v>1693</v>
      </c>
      <c r="BG43" s="5" t="s">
        <v>108</v>
      </c>
      <c r="BH43" s="5" t="s">
        <v>1694</v>
      </c>
      <c r="BI43" s="5" t="s">
        <v>1695</v>
      </c>
      <c r="BJ43" s="5" t="s">
        <v>108</v>
      </c>
      <c r="BK43" s="5" t="s">
        <v>1696</v>
      </c>
      <c r="BL43" s="5" t="s">
        <v>1697</v>
      </c>
      <c r="BM43" s="5" t="s">
        <v>1698</v>
      </c>
      <c r="BN43" s="5" t="s">
        <v>1690</v>
      </c>
      <c r="BO43" s="5" t="s">
        <v>1699</v>
      </c>
      <c r="BP43" s="5" t="s">
        <v>1695</v>
      </c>
      <c r="BQ43" s="5" t="s">
        <v>1691</v>
      </c>
      <c r="BR43" s="5" t="s">
        <v>1700</v>
      </c>
      <c r="BS43" s="5">
        <v>5</v>
      </c>
      <c r="BT43" s="5" t="s">
        <v>1682</v>
      </c>
      <c r="BU43" s="5">
        <v>1</v>
      </c>
      <c r="BV43" s="5" t="s">
        <v>108</v>
      </c>
      <c r="BW43" s="5" t="s">
        <v>1688</v>
      </c>
      <c r="BX43" s="5" t="s">
        <v>191</v>
      </c>
      <c r="BY43" s="5" t="s">
        <v>1701</v>
      </c>
      <c r="BZ43" s="5" t="s">
        <v>1702</v>
      </c>
      <c r="CA43" s="5" t="s">
        <v>149</v>
      </c>
      <c r="CB43" s="5" t="s">
        <v>1703</v>
      </c>
      <c r="CC43" s="5" t="s">
        <v>1703</v>
      </c>
      <c r="CD43" s="5" t="s">
        <v>1704</v>
      </c>
      <c r="CE43" s="5" t="s">
        <v>108</v>
      </c>
      <c r="CF43" s="5" t="s">
        <v>1694</v>
      </c>
      <c r="CG43" s="5" t="s">
        <v>154</v>
      </c>
      <c r="CH43" s="5" t="s">
        <v>152</v>
      </c>
      <c r="CI43" s="5" t="s">
        <v>1705</v>
      </c>
      <c r="CJ43" s="5" t="s">
        <v>153</v>
      </c>
      <c r="CK43" s="5" t="s">
        <v>271</v>
      </c>
      <c r="CL43" s="5" t="s">
        <v>108</v>
      </c>
      <c r="CM43" s="5">
        <f>IFERROR(VLOOKUP($A43,Quality_Appraisal!$A:$P,15,FALSE),"")</f>
        <v>23</v>
      </c>
      <c r="CN43" s="5" t="str">
        <f>IFERROR(VLOOKUP($A43,Quality_Appraisal!$A:$P,16,FALSE),"")</f>
        <v>Strong</v>
      </c>
      <c r="CO43" s="5" t="s">
        <v>156</v>
      </c>
      <c r="CP43" s="5" t="s">
        <v>455</v>
      </c>
      <c r="CQ43" s="5" t="s">
        <v>1681</v>
      </c>
      <c r="CR43" s="5" t="s">
        <v>108</v>
      </c>
      <c r="CS43" s="5" t="s">
        <v>427</v>
      </c>
      <c r="CT43" s="5" t="s">
        <v>1681</v>
      </c>
      <c r="CU43" s="5" t="s">
        <v>158</v>
      </c>
      <c r="CV43" s="5" t="s">
        <v>108</v>
      </c>
      <c r="CW43" s="5" t="s">
        <v>1706</v>
      </c>
      <c r="CX43" s="5" t="s">
        <v>108</v>
      </c>
    </row>
    <row r="44" spans="1:102" ht="28.8" customHeight="1">
      <c r="A44" s="5" t="s">
        <v>1707</v>
      </c>
      <c r="B44" s="5" t="s">
        <v>1708</v>
      </c>
      <c r="C44" s="5" t="s">
        <v>1709</v>
      </c>
      <c r="D44" s="5" t="s">
        <v>105</v>
      </c>
      <c r="E44" s="5" t="s">
        <v>106</v>
      </c>
      <c r="F44" s="5" t="s">
        <v>2693</v>
      </c>
      <c r="G44" s="5" t="s">
        <v>2740</v>
      </c>
      <c r="H44" s="5">
        <v>4</v>
      </c>
      <c r="I44" s="5" t="s">
        <v>109</v>
      </c>
      <c r="J44" s="5" t="s">
        <v>1710</v>
      </c>
      <c r="K44" s="5" t="s">
        <v>1711</v>
      </c>
      <c r="L44" s="5" t="s">
        <v>1712</v>
      </c>
      <c r="M44" s="5" t="s">
        <v>347</v>
      </c>
      <c r="N44" s="5" t="s">
        <v>113</v>
      </c>
      <c r="O44" s="5" t="s">
        <v>1713</v>
      </c>
      <c r="P44" s="5" t="s">
        <v>263</v>
      </c>
      <c r="Q44" s="5" t="s">
        <v>115</v>
      </c>
      <c r="R44" s="5" t="s">
        <v>1714</v>
      </c>
      <c r="S44" s="5" t="s">
        <v>1715</v>
      </c>
      <c r="T44" s="5" t="s">
        <v>117</v>
      </c>
      <c r="U44" s="5">
        <v>5</v>
      </c>
      <c r="V44" s="5" t="s">
        <v>118</v>
      </c>
      <c r="W44" s="5" t="s">
        <v>1711</v>
      </c>
      <c r="X44" s="5" t="s">
        <v>760</v>
      </c>
      <c r="Y44" s="5" t="s">
        <v>1716</v>
      </c>
      <c r="Z44" s="5" t="s">
        <v>121</v>
      </c>
      <c r="AA44" s="5" t="s">
        <v>1717</v>
      </c>
      <c r="AB44" s="5" t="s">
        <v>1718</v>
      </c>
      <c r="AC44" s="5" t="s">
        <v>108</v>
      </c>
      <c r="AD44" s="5" t="s">
        <v>124</v>
      </c>
      <c r="AE44" s="5" t="s">
        <v>1719</v>
      </c>
      <c r="AF44" s="5" t="s">
        <v>1714</v>
      </c>
      <c r="AG44" s="5" t="s">
        <v>1715</v>
      </c>
      <c r="AH44" s="5" t="s">
        <v>175</v>
      </c>
      <c r="AI44" s="5" t="s">
        <v>176</v>
      </c>
      <c r="AJ44" s="5" t="s">
        <v>588</v>
      </c>
      <c r="AK44" s="5" t="s">
        <v>588</v>
      </c>
      <c r="AL44" s="5" t="s">
        <v>128</v>
      </c>
      <c r="AM44" s="5" t="s">
        <v>359</v>
      </c>
      <c r="AN44" s="5" t="s">
        <v>108</v>
      </c>
      <c r="AO44" s="5" t="s">
        <v>108</v>
      </c>
      <c r="AP44" s="5" t="s">
        <v>1720</v>
      </c>
      <c r="AQ44" s="5" t="s">
        <v>1721</v>
      </c>
      <c r="AR44" s="5" t="s">
        <v>1721</v>
      </c>
      <c r="AS44" s="5" t="s">
        <v>1722</v>
      </c>
      <c r="AT44" s="5" t="s">
        <v>1723</v>
      </c>
      <c r="AU44" s="5" t="s">
        <v>1724</v>
      </c>
      <c r="AV44" s="5" t="s">
        <v>1725</v>
      </c>
      <c r="AW44" s="5" t="s">
        <v>1720</v>
      </c>
      <c r="AX44" s="5" t="s">
        <v>108</v>
      </c>
      <c r="AY44" s="5" t="s">
        <v>108</v>
      </c>
      <c r="AZ44" s="5" t="s">
        <v>1726</v>
      </c>
      <c r="BA44" s="5" t="s">
        <v>1727</v>
      </c>
      <c r="BB44" s="5" t="s">
        <v>1728</v>
      </c>
      <c r="BC44" s="5" t="s">
        <v>1729</v>
      </c>
      <c r="BD44" s="5" t="s">
        <v>1730</v>
      </c>
      <c r="BE44" s="5" t="s">
        <v>1731</v>
      </c>
      <c r="BF44" s="5" t="s">
        <v>1732</v>
      </c>
      <c r="BG44" s="5" t="s">
        <v>108</v>
      </c>
      <c r="BH44" s="5" t="s">
        <v>108</v>
      </c>
      <c r="BI44" s="5" t="s">
        <v>1733</v>
      </c>
      <c r="BJ44" s="5" t="s">
        <v>1734</v>
      </c>
      <c r="BK44" s="5" t="s">
        <v>1735</v>
      </c>
      <c r="BL44" s="5" t="s">
        <v>1736</v>
      </c>
      <c r="BM44" s="5" t="s">
        <v>1737</v>
      </c>
      <c r="BN44" s="5" t="s">
        <v>1738</v>
      </c>
      <c r="BO44" s="5" t="s">
        <v>1738</v>
      </c>
      <c r="BP44" s="5" t="s">
        <v>1739</v>
      </c>
      <c r="BQ44" s="5" t="s">
        <v>1730</v>
      </c>
      <c r="BR44" s="5" t="s">
        <v>1740</v>
      </c>
      <c r="BS44" s="5">
        <v>3</v>
      </c>
      <c r="BT44" s="5" t="s">
        <v>1741</v>
      </c>
      <c r="BU44" s="5">
        <v>4</v>
      </c>
      <c r="BV44" s="5" t="s">
        <v>108</v>
      </c>
      <c r="BW44" s="5" t="s">
        <v>1727</v>
      </c>
      <c r="BX44" s="5" t="s">
        <v>191</v>
      </c>
      <c r="BY44" s="5" t="s">
        <v>969</v>
      </c>
      <c r="BZ44" s="5" t="s">
        <v>1742</v>
      </c>
      <c r="CA44" s="5" t="s">
        <v>248</v>
      </c>
      <c r="CB44" s="5" t="s">
        <v>1743</v>
      </c>
      <c r="CC44" s="5" t="s">
        <v>1743</v>
      </c>
      <c r="CD44" s="5" t="s">
        <v>1744</v>
      </c>
      <c r="CE44" s="5" t="s">
        <v>108</v>
      </c>
      <c r="CF44" s="5" t="s">
        <v>108</v>
      </c>
      <c r="CG44" s="5" t="s">
        <v>493</v>
      </c>
      <c r="CH44" s="5" t="s">
        <v>154</v>
      </c>
      <c r="CI44" s="5" t="s">
        <v>194</v>
      </c>
      <c r="CJ44" s="5" t="s">
        <v>251</v>
      </c>
      <c r="CK44" s="5" t="s">
        <v>588</v>
      </c>
      <c r="CL44" s="5" t="s">
        <v>108</v>
      </c>
      <c r="CM44" s="5">
        <f>IFERROR(VLOOKUP($A44,Quality_Appraisal!$A:$P,15,FALSE),"")</f>
        <v>24</v>
      </c>
      <c r="CN44" s="5" t="str">
        <f>IFERROR(VLOOKUP($A44,Quality_Appraisal!$A:$P,16,FALSE),"")</f>
        <v>Strong</v>
      </c>
      <c r="CO44" s="5" t="s">
        <v>156</v>
      </c>
      <c r="CP44" s="5" t="s">
        <v>455</v>
      </c>
      <c r="CQ44" s="5" t="s">
        <v>1717</v>
      </c>
      <c r="CR44" s="5" t="s">
        <v>108</v>
      </c>
      <c r="CS44" s="5" t="s">
        <v>760</v>
      </c>
      <c r="CT44" s="5" t="s">
        <v>1717</v>
      </c>
      <c r="CU44" s="5" t="s">
        <v>253</v>
      </c>
      <c r="CV44" s="5" t="s">
        <v>108</v>
      </c>
      <c r="CW44" s="5" t="s">
        <v>1745</v>
      </c>
      <c r="CX44" s="5" t="s">
        <v>1746</v>
      </c>
    </row>
    <row r="45" spans="1:102" ht="28.8" customHeight="1">
      <c r="A45" s="5" t="s">
        <v>1747</v>
      </c>
      <c r="B45" s="5" t="s">
        <v>1748</v>
      </c>
      <c r="C45" s="5" t="s">
        <v>1749</v>
      </c>
      <c r="D45" s="5" t="s">
        <v>105</v>
      </c>
      <c r="E45" s="5" t="s">
        <v>106</v>
      </c>
      <c r="F45" s="5" t="s">
        <v>2693</v>
      </c>
      <c r="G45" s="5" t="s">
        <v>2740</v>
      </c>
      <c r="H45" s="5">
        <v>4</v>
      </c>
      <c r="I45" s="5" t="s">
        <v>109</v>
      </c>
      <c r="J45" s="5" t="s">
        <v>108</v>
      </c>
      <c r="K45" s="5" t="s">
        <v>1750</v>
      </c>
      <c r="L45" s="5" t="s">
        <v>1751</v>
      </c>
      <c r="M45" s="5" t="s">
        <v>112</v>
      </c>
      <c r="N45" s="5" t="s">
        <v>113</v>
      </c>
      <c r="O45" s="5" t="s">
        <v>1752</v>
      </c>
      <c r="P45" s="5" t="s">
        <v>108</v>
      </c>
      <c r="Q45" s="5" t="s">
        <v>115</v>
      </c>
      <c r="R45" s="5" t="s">
        <v>1753</v>
      </c>
      <c r="S45" s="5" t="s">
        <v>1754</v>
      </c>
      <c r="T45" s="5" t="s">
        <v>117</v>
      </c>
      <c r="U45" s="5">
        <v>5</v>
      </c>
      <c r="V45" s="5" t="s">
        <v>118</v>
      </c>
      <c r="W45" s="5" t="s">
        <v>1750</v>
      </c>
      <c r="X45" s="5" t="s">
        <v>119</v>
      </c>
      <c r="Y45" s="5" t="s">
        <v>1755</v>
      </c>
      <c r="Z45" s="5" t="s">
        <v>121</v>
      </c>
      <c r="AA45" s="5" t="s">
        <v>1756</v>
      </c>
      <c r="AB45" s="5" t="s">
        <v>1757</v>
      </c>
      <c r="AC45" s="5" t="s">
        <v>1757</v>
      </c>
      <c r="AD45" s="5" t="s">
        <v>1758</v>
      </c>
      <c r="AE45" s="5" t="s">
        <v>108</v>
      </c>
      <c r="AF45" s="5" t="s">
        <v>1753</v>
      </c>
      <c r="AG45" s="5" t="s">
        <v>1754</v>
      </c>
      <c r="AH45" s="5" t="s">
        <v>175</v>
      </c>
      <c r="AI45" s="5" t="s">
        <v>357</v>
      </c>
      <c r="AJ45" s="5" t="s">
        <v>950</v>
      </c>
      <c r="AK45" s="5" t="s">
        <v>950</v>
      </c>
      <c r="AL45" s="5" t="s">
        <v>128</v>
      </c>
      <c r="AM45" s="5" t="s">
        <v>359</v>
      </c>
      <c r="AN45" s="5" t="s">
        <v>221</v>
      </c>
      <c r="AO45" s="5" t="s">
        <v>221</v>
      </c>
      <c r="AP45" s="5" t="s">
        <v>1759</v>
      </c>
      <c r="AQ45" s="5" t="s">
        <v>511</v>
      </c>
      <c r="AR45" s="5" t="s">
        <v>511</v>
      </c>
      <c r="AS45" s="5" t="s">
        <v>108</v>
      </c>
      <c r="AT45" s="5" t="s">
        <v>1760</v>
      </c>
      <c r="AU45" s="5" t="s">
        <v>1761</v>
      </c>
      <c r="AV45" s="5" t="s">
        <v>1762</v>
      </c>
      <c r="AW45" s="5" t="s">
        <v>1759</v>
      </c>
      <c r="AX45" s="5" t="s">
        <v>108</v>
      </c>
      <c r="AY45" s="5" t="s">
        <v>108</v>
      </c>
      <c r="AZ45" s="5" t="s">
        <v>1759</v>
      </c>
      <c r="BA45" s="5" t="s">
        <v>1763</v>
      </c>
      <c r="BB45" s="5" t="s">
        <v>1757</v>
      </c>
      <c r="BC45" s="5" t="s">
        <v>1764</v>
      </c>
      <c r="BD45" s="5" t="s">
        <v>1756</v>
      </c>
      <c r="BE45" s="5" t="s">
        <v>1765</v>
      </c>
      <c r="BF45" s="5" t="s">
        <v>1766</v>
      </c>
      <c r="BG45" s="5" t="s">
        <v>1767</v>
      </c>
      <c r="BH45" s="5" t="s">
        <v>1768</v>
      </c>
      <c r="BI45" s="5" t="s">
        <v>108</v>
      </c>
      <c r="BJ45" s="5" t="s">
        <v>1769</v>
      </c>
      <c r="BK45" s="5" t="s">
        <v>1767</v>
      </c>
      <c r="BL45" s="5" t="s">
        <v>1770</v>
      </c>
      <c r="BM45" s="5" t="s">
        <v>1771</v>
      </c>
      <c r="BN45" s="5" t="s">
        <v>1772</v>
      </c>
      <c r="BO45" s="5" t="s">
        <v>1773</v>
      </c>
      <c r="BP45" s="5" t="s">
        <v>1774</v>
      </c>
      <c r="BQ45" s="5" t="s">
        <v>1756</v>
      </c>
      <c r="BR45" s="5" t="s">
        <v>1772</v>
      </c>
      <c r="BS45" s="5">
        <v>2</v>
      </c>
      <c r="BT45" s="5" t="s">
        <v>1771</v>
      </c>
      <c r="BU45" s="5">
        <v>4</v>
      </c>
      <c r="BV45" s="5" t="s">
        <v>108</v>
      </c>
      <c r="BW45" s="5" t="s">
        <v>1763</v>
      </c>
      <c r="BX45" s="5" t="s">
        <v>191</v>
      </c>
      <c r="BY45" s="5" t="s">
        <v>1775</v>
      </c>
      <c r="BZ45" s="5" t="s">
        <v>1776</v>
      </c>
      <c r="CA45" s="5" t="s">
        <v>248</v>
      </c>
      <c r="CB45" s="5" t="s">
        <v>1777</v>
      </c>
      <c r="CC45" s="5" t="s">
        <v>1777</v>
      </c>
      <c r="CD45" s="5" t="s">
        <v>1778</v>
      </c>
      <c r="CE45" s="5" t="s">
        <v>108</v>
      </c>
      <c r="CF45" s="5" t="s">
        <v>1768</v>
      </c>
      <c r="CG45" s="5" t="s">
        <v>152</v>
      </c>
      <c r="CH45" s="5" t="s">
        <v>155</v>
      </c>
      <c r="CI45" s="5" t="s">
        <v>154</v>
      </c>
      <c r="CJ45" s="5" t="s">
        <v>194</v>
      </c>
      <c r="CK45" s="5" t="s">
        <v>950</v>
      </c>
      <c r="CL45" s="5" t="s">
        <v>108</v>
      </c>
      <c r="CM45" s="5">
        <f>IFERROR(VLOOKUP($A45,Quality_Appraisal!$A:$P,15,FALSE),"")</f>
        <v>24</v>
      </c>
      <c r="CN45" s="5" t="str">
        <f>IFERROR(VLOOKUP($A45,Quality_Appraisal!$A:$P,16,FALSE),"")</f>
        <v>Strong</v>
      </c>
      <c r="CO45" s="5" t="s">
        <v>156</v>
      </c>
      <c r="CP45" s="5" t="s">
        <v>157</v>
      </c>
      <c r="CQ45" s="5" t="s">
        <v>1756</v>
      </c>
      <c r="CR45" s="5" t="s">
        <v>108</v>
      </c>
      <c r="CS45" s="5" t="s">
        <v>119</v>
      </c>
      <c r="CT45" s="5" t="s">
        <v>1756</v>
      </c>
      <c r="CU45" s="5" t="s">
        <v>253</v>
      </c>
      <c r="CV45" s="5" t="s">
        <v>108</v>
      </c>
      <c r="CW45" s="5" t="s">
        <v>1779</v>
      </c>
      <c r="CX45" s="5" t="s">
        <v>108</v>
      </c>
    </row>
    <row r="46" spans="1:102" ht="28.8" customHeight="1">
      <c r="A46" s="5" t="s">
        <v>1780</v>
      </c>
      <c r="B46" s="5" t="s">
        <v>1781</v>
      </c>
      <c r="C46" s="5" t="s">
        <v>1782</v>
      </c>
      <c r="D46" s="5" t="s">
        <v>105</v>
      </c>
      <c r="E46" s="5" t="s">
        <v>106</v>
      </c>
      <c r="F46" s="5" t="s">
        <v>2693</v>
      </c>
      <c r="G46" s="5" t="s">
        <v>2740</v>
      </c>
      <c r="H46" s="5">
        <v>4</v>
      </c>
      <c r="I46" s="5" t="s">
        <v>109</v>
      </c>
      <c r="J46" s="5" t="s">
        <v>108</v>
      </c>
      <c r="K46" s="5" t="s">
        <v>1783</v>
      </c>
      <c r="L46" s="5" t="s">
        <v>1784</v>
      </c>
      <c r="M46" s="5" t="s">
        <v>112</v>
      </c>
      <c r="N46" s="5" t="s">
        <v>113</v>
      </c>
      <c r="O46" s="5" t="s">
        <v>1785</v>
      </c>
      <c r="P46" s="5" t="s">
        <v>108</v>
      </c>
      <c r="Q46" s="5" t="s">
        <v>115</v>
      </c>
      <c r="R46" s="5" t="s">
        <v>1786</v>
      </c>
      <c r="S46" s="5" t="s">
        <v>1787</v>
      </c>
      <c r="T46" s="5" t="s">
        <v>117</v>
      </c>
      <c r="U46" s="5">
        <v>5</v>
      </c>
      <c r="V46" s="5" t="s">
        <v>118</v>
      </c>
      <c r="W46" s="5" t="s">
        <v>1783</v>
      </c>
      <c r="X46" s="5" t="s">
        <v>427</v>
      </c>
      <c r="Y46" s="5" t="s">
        <v>1788</v>
      </c>
      <c r="Z46" s="5" t="s">
        <v>121</v>
      </c>
      <c r="AA46" s="5" t="s">
        <v>1789</v>
      </c>
      <c r="AB46" s="5" t="s">
        <v>1790</v>
      </c>
      <c r="AC46" s="5" t="s">
        <v>108</v>
      </c>
      <c r="AD46" s="5" t="s">
        <v>1238</v>
      </c>
      <c r="AE46" s="5" t="s">
        <v>1791</v>
      </c>
      <c r="AF46" s="5" t="s">
        <v>1786</v>
      </c>
      <c r="AG46" s="5" t="s">
        <v>1787</v>
      </c>
      <c r="AH46" s="5" t="s">
        <v>125</v>
      </c>
      <c r="AI46" s="5" t="s">
        <v>126</v>
      </c>
      <c r="AJ46" s="5" t="s">
        <v>314</v>
      </c>
      <c r="AK46" s="5" t="s">
        <v>108</v>
      </c>
      <c r="AL46" s="5" t="s">
        <v>315</v>
      </c>
      <c r="AM46" s="5" t="s">
        <v>108</v>
      </c>
      <c r="AN46" s="5" t="s">
        <v>1792</v>
      </c>
      <c r="AO46" s="5" t="s">
        <v>1792</v>
      </c>
      <c r="AP46" s="5" t="s">
        <v>1793</v>
      </c>
      <c r="AQ46" s="5" t="s">
        <v>108</v>
      </c>
      <c r="AR46" s="5" t="s">
        <v>1238</v>
      </c>
      <c r="AS46" s="5" t="s">
        <v>108</v>
      </c>
      <c r="AT46" s="5" t="s">
        <v>1794</v>
      </c>
      <c r="AU46" s="5" t="s">
        <v>108</v>
      </c>
      <c r="AV46" s="5" t="s">
        <v>1795</v>
      </c>
      <c r="AW46" s="5" t="s">
        <v>1793</v>
      </c>
      <c r="AX46" s="5" t="s">
        <v>108</v>
      </c>
      <c r="AY46" s="5" t="s">
        <v>108</v>
      </c>
      <c r="AZ46" s="5" t="s">
        <v>1796</v>
      </c>
      <c r="BA46" s="5" t="s">
        <v>108</v>
      </c>
      <c r="BB46" s="5" t="s">
        <v>1797</v>
      </c>
      <c r="BC46" s="5" t="s">
        <v>1798</v>
      </c>
      <c r="BD46" s="5" t="s">
        <v>1799</v>
      </c>
      <c r="BE46" s="5" t="s">
        <v>1800</v>
      </c>
      <c r="BF46" s="5" t="s">
        <v>1801</v>
      </c>
      <c r="BG46" s="5" t="s">
        <v>108</v>
      </c>
      <c r="BH46" s="5" t="s">
        <v>1802</v>
      </c>
      <c r="BI46" s="5" t="s">
        <v>1803</v>
      </c>
      <c r="BJ46" s="5" t="s">
        <v>1804</v>
      </c>
      <c r="BK46" s="5" t="s">
        <v>1805</v>
      </c>
      <c r="BL46" s="5" t="s">
        <v>108</v>
      </c>
      <c r="BM46" s="5" t="s">
        <v>1806</v>
      </c>
      <c r="BN46" s="5" t="s">
        <v>1807</v>
      </c>
      <c r="BO46" s="5" t="s">
        <v>1808</v>
      </c>
      <c r="BP46" s="5" t="s">
        <v>1797</v>
      </c>
      <c r="BQ46" s="5" t="s">
        <v>1799</v>
      </c>
      <c r="BR46" s="5" t="s">
        <v>1807</v>
      </c>
      <c r="BS46" s="5">
        <v>1</v>
      </c>
      <c r="BT46" s="5" t="s">
        <v>1791</v>
      </c>
      <c r="BU46" s="5">
        <v>1</v>
      </c>
      <c r="BV46" s="5" t="s">
        <v>108</v>
      </c>
      <c r="BW46" s="5" t="s">
        <v>108</v>
      </c>
      <c r="BX46" s="5" t="s">
        <v>191</v>
      </c>
      <c r="BY46" s="5" t="s">
        <v>1179</v>
      </c>
      <c r="BZ46" s="5" t="s">
        <v>1809</v>
      </c>
      <c r="CA46" s="5" t="s">
        <v>337</v>
      </c>
      <c r="CB46" s="5" t="s">
        <v>1809</v>
      </c>
      <c r="CC46" s="5" t="s">
        <v>108</v>
      </c>
      <c r="CD46" s="5" t="s">
        <v>1810</v>
      </c>
      <c r="CE46" s="5" t="s">
        <v>108</v>
      </c>
      <c r="CF46" s="5" t="s">
        <v>1802</v>
      </c>
      <c r="CG46" s="5" t="s">
        <v>154</v>
      </c>
      <c r="CH46" s="5" t="s">
        <v>569</v>
      </c>
      <c r="CI46" s="5" t="s">
        <v>155</v>
      </c>
      <c r="CJ46" s="5" t="s">
        <v>340</v>
      </c>
      <c r="CK46" s="5" t="s">
        <v>108</v>
      </c>
      <c r="CL46" s="5" t="s">
        <v>569</v>
      </c>
      <c r="CM46" s="5">
        <f>IFERROR(VLOOKUP($A46,Quality_Appraisal!$A:$P,15,FALSE),"")</f>
        <v>20</v>
      </c>
      <c r="CN46" s="5" t="str">
        <f>IFERROR(VLOOKUP($A46,Quality_Appraisal!$A:$P,16,FALSE),"")</f>
        <v>Strong</v>
      </c>
      <c r="CO46" s="5" t="s">
        <v>156</v>
      </c>
      <c r="CP46" s="5" t="s">
        <v>455</v>
      </c>
      <c r="CQ46" s="5" t="s">
        <v>1789</v>
      </c>
      <c r="CR46" s="5" t="s">
        <v>108</v>
      </c>
      <c r="CS46" s="5" t="s">
        <v>427</v>
      </c>
      <c r="CT46" s="5" t="s">
        <v>1789</v>
      </c>
      <c r="CU46" s="5" t="s">
        <v>158</v>
      </c>
      <c r="CV46" s="5" t="s">
        <v>108</v>
      </c>
      <c r="CW46" s="5" t="s">
        <v>1811</v>
      </c>
      <c r="CX46" s="5" t="s">
        <v>108</v>
      </c>
    </row>
    <row r="47" spans="1:102" ht="28.8" customHeight="1">
      <c r="A47" s="5" t="s">
        <v>1812</v>
      </c>
      <c r="B47" s="5" t="s">
        <v>1813</v>
      </c>
      <c r="C47" s="5" t="s">
        <v>1814</v>
      </c>
      <c r="D47" s="5" t="s">
        <v>105</v>
      </c>
      <c r="E47" s="5" t="s">
        <v>106</v>
      </c>
      <c r="F47" s="5" t="s">
        <v>2693</v>
      </c>
      <c r="G47" s="5" t="s">
        <v>2740</v>
      </c>
      <c r="H47" s="5">
        <v>4</v>
      </c>
      <c r="I47" s="5" t="s">
        <v>109</v>
      </c>
      <c r="J47" s="5" t="s">
        <v>1815</v>
      </c>
      <c r="K47" s="5" t="s">
        <v>1816</v>
      </c>
      <c r="L47" s="5" t="s">
        <v>1817</v>
      </c>
      <c r="M47" s="5" t="s">
        <v>791</v>
      </c>
      <c r="N47" s="5" t="s">
        <v>206</v>
      </c>
      <c r="O47" s="5" t="s">
        <v>1066</v>
      </c>
      <c r="P47" s="5" t="s">
        <v>691</v>
      </c>
      <c r="Q47" s="5" t="s">
        <v>115</v>
      </c>
      <c r="R47" s="5" t="s">
        <v>1818</v>
      </c>
      <c r="S47" s="5" t="s">
        <v>1819</v>
      </c>
      <c r="T47" s="5" t="s">
        <v>117</v>
      </c>
      <c r="U47" s="5">
        <v>5</v>
      </c>
      <c r="V47" s="5" t="s">
        <v>118</v>
      </c>
      <c r="W47" s="5" t="s">
        <v>1816</v>
      </c>
      <c r="X47" s="5" t="s">
        <v>583</v>
      </c>
      <c r="Y47" s="5" t="s">
        <v>1820</v>
      </c>
      <c r="Z47" s="5" t="s">
        <v>121</v>
      </c>
      <c r="AA47" s="5" t="s">
        <v>1821</v>
      </c>
      <c r="AB47" s="5" t="s">
        <v>108</v>
      </c>
      <c r="AC47" s="5" t="s">
        <v>1822</v>
      </c>
      <c r="AD47" s="5" t="s">
        <v>431</v>
      </c>
      <c r="AE47" s="5" t="s">
        <v>108</v>
      </c>
      <c r="AF47" s="5" t="s">
        <v>1818</v>
      </c>
      <c r="AG47" s="5" t="s">
        <v>1819</v>
      </c>
      <c r="AH47" s="5" t="s">
        <v>175</v>
      </c>
      <c r="AI47" s="5" t="s">
        <v>176</v>
      </c>
      <c r="AJ47" s="5" t="s">
        <v>398</v>
      </c>
      <c r="AK47" s="5" t="s">
        <v>398</v>
      </c>
      <c r="AL47" s="5" t="s">
        <v>128</v>
      </c>
      <c r="AM47" s="5" t="s">
        <v>108</v>
      </c>
      <c r="AN47" s="5" t="s">
        <v>989</v>
      </c>
      <c r="AO47" s="5" t="s">
        <v>989</v>
      </c>
      <c r="AP47" s="5" t="s">
        <v>1822</v>
      </c>
      <c r="AQ47" s="5" t="s">
        <v>108</v>
      </c>
      <c r="AR47" s="5" t="s">
        <v>431</v>
      </c>
      <c r="AS47" s="5" t="s">
        <v>108</v>
      </c>
      <c r="AT47" s="5" t="s">
        <v>1823</v>
      </c>
      <c r="AU47" s="5" t="s">
        <v>108</v>
      </c>
      <c r="AV47" s="5" t="s">
        <v>1824</v>
      </c>
      <c r="AW47" s="5" t="s">
        <v>1822</v>
      </c>
      <c r="AX47" s="5" t="s">
        <v>108</v>
      </c>
      <c r="AY47" s="5" t="s">
        <v>108</v>
      </c>
      <c r="AZ47" s="5" t="s">
        <v>1822</v>
      </c>
      <c r="BA47" s="5" t="s">
        <v>1825</v>
      </c>
      <c r="BB47" s="5" t="s">
        <v>1826</v>
      </c>
      <c r="BC47" s="5" t="s">
        <v>108</v>
      </c>
      <c r="BD47" s="5" t="s">
        <v>1827</v>
      </c>
      <c r="BE47" s="5" t="s">
        <v>1828</v>
      </c>
      <c r="BF47" s="5" t="s">
        <v>1829</v>
      </c>
      <c r="BG47" s="5" t="s">
        <v>1830</v>
      </c>
      <c r="BH47" s="5" t="s">
        <v>1823</v>
      </c>
      <c r="BI47" s="5" t="s">
        <v>1831</v>
      </c>
      <c r="BJ47" s="5" t="s">
        <v>1832</v>
      </c>
      <c r="BK47" s="5" t="s">
        <v>1833</v>
      </c>
      <c r="BL47" s="5" t="s">
        <v>1834</v>
      </c>
      <c r="BM47" s="5" t="s">
        <v>1835</v>
      </c>
      <c r="BN47" s="5" t="s">
        <v>1832</v>
      </c>
      <c r="BO47" s="5" t="s">
        <v>1836</v>
      </c>
      <c r="BP47" s="5" t="s">
        <v>1837</v>
      </c>
      <c r="BQ47" s="5" t="s">
        <v>1827</v>
      </c>
      <c r="BR47" s="5" t="s">
        <v>1838</v>
      </c>
      <c r="BS47" s="5">
        <v>3</v>
      </c>
      <c r="BT47" s="5" t="s">
        <v>1822</v>
      </c>
      <c r="BU47" s="5">
        <v>1</v>
      </c>
      <c r="BV47" s="5" t="s">
        <v>108</v>
      </c>
      <c r="BW47" s="5" t="s">
        <v>1825</v>
      </c>
      <c r="BX47" s="5" t="s">
        <v>191</v>
      </c>
      <c r="BY47" s="5" t="s">
        <v>415</v>
      </c>
      <c r="BZ47" s="5" t="s">
        <v>108</v>
      </c>
      <c r="CA47" s="5" t="s">
        <v>193</v>
      </c>
      <c r="CB47" s="5" t="s">
        <v>1839</v>
      </c>
      <c r="CC47" s="5" t="s">
        <v>1839</v>
      </c>
      <c r="CD47" s="5" t="s">
        <v>1840</v>
      </c>
      <c r="CE47" s="5" t="s">
        <v>108</v>
      </c>
      <c r="CF47" s="5" t="s">
        <v>1823</v>
      </c>
      <c r="CG47" s="5" t="s">
        <v>252</v>
      </c>
      <c r="CH47" s="5" t="s">
        <v>154</v>
      </c>
      <c r="CI47" s="5" t="s">
        <v>710</v>
      </c>
      <c r="CJ47" s="5" t="s">
        <v>1099</v>
      </c>
      <c r="CK47" s="5" t="s">
        <v>398</v>
      </c>
      <c r="CL47" s="5" t="s">
        <v>108</v>
      </c>
      <c r="CM47" s="5">
        <f>IFERROR(VLOOKUP($A47,Quality_Appraisal!$A:$P,15,FALSE),"")</f>
        <v>18</v>
      </c>
      <c r="CN47" s="5" t="str">
        <f>IFERROR(VLOOKUP($A47,Quality_Appraisal!$A:$P,16,FALSE),"")</f>
        <v>Moderate</v>
      </c>
      <c r="CO47" s="5" t="s">
        <v>156</v>
      </c>
      <c r="CP47" s="5" t="s">
        <v>455</v>
      </c>
      <c r="CQ47" s="5" t="s">
        <v>1821</v>
      </c>
      <c r="CR47" s="5" t="s">
        <v>108</v>
      </c>
      <c r="CS47" s="5" t="s">
        <v>583</v>
      </c>
      <c r="CT47" s="5" t="s">
        <v>1821</v>
      </c>
      <c r="CU47" s="5" t="s">
        <v>197</v>
      </c>
      <c r="CV47" s="5" t="s">
        <v>108</v>
      </c>
      <c r="CW47" s="5" t="s">
        <v>1841</v>
      </c>
      <c r="CX47" s="5" t="s">
        <v>1842</v>
      </c>
    </row>
    <row r="48" spans="1:102" ht="28.8" customHeight="1">
      <c r="A48" s="5" t="s">
        <v>1843</v>
      </c>
      <c r="B48" s="5" t="s">
        <v>1844</v>
      </c>
      <c r="C48" s="5" t="s">
        <v>1845</v>
      </c>
      <c r="D48" s="5" t="s">
        <v>105</v>
      </c>
      <c r="E48" s="5" t="s">
        <v>106</v>
      </c>
      <c r="F48" s="5" t="s">
        <v>2693</v>
      </c>
      <c r="G48" s="5" t="s">
        <v>2740</v>
      </c>
      <c r="H48" s="5">
        <v>4</v>
      </c>
      <c r="I48" s="5" t="s">
        <v>109</v>
      </c>
      <c r="J48" s="5" t="s">
        <v>1846</v>
      </c>
      <c r="K48" s="5" t="s">
        <v>1847</v>
      </c>
      <c r="L48" s="5" t="s">
        <v>1848</v>
      </c>
      <c r="M48" s="5" t="s">
        <v>941</v>
      </c>
      <c r="N48" s="5" t="s">
        <v>1473</v>
      </c>
      <c r="O48" s="5" t="s">
        <v>1849</v>
      </c>
      <c r="P48" s="5" t="s">
        <v>263</v>
      </c>
      <c r="Q48" s="5" t="s">
        <v>115</v>
      </c>
      <c r="R48" s="5" t="s">
        <v>108</v>
      </c>
      <c r="S48" s="5" t="s">
        <v>1850</v>
      </c>
      <c r="T48" s="5" t="s">
        <v>117</v>
      </c>
      <c r="U48" s="5">
        <v>5</v>
      </c>
      <c r="V48" s="5" t="s">
        <v>118</v>
      </c>
      <c r="W48" s="5" t="s">
        <v>1847</v>
      </c>
      <c r="X48" s="5" t="s">
        <v>427</v>
      </c>
      <c r="Y48" s="5" t="s">
        <v>1851</v>
      </c>
      <c r="Z48" s="5" t="s">
        <v>121</v>
      </c>
      <c r="AA48" s="5" t="s">
        <v>1852</v>
      </c>
      <c r="AB48" s="5" t="s">
        <v>1853</v>
      </c>
      <c r="AC48" s="5" t="s">
        <v>1854</v>
      </c>
      <c r="AD48" s="5" t="s">
        <v>697</v>
      </c>
      <c r="AE48" s="5" t="s">
        <v>108</v>
      </c>
      <c r="AF48" s="5" t="s">
        <v>697</v>
      </c>
      <c r="AG48" s="5" t="s">
        <v>1850</v>
      </c>
      <c r="AH48" s="5" t="s">
        <v>175</v>
      </c>
      <c r="AI48" s="5" t="s">
        <v>176</v>
      </c>
      <c r="AJ48" s="5" t="s">
        <v>398</v>
      </c>
      <c r="AK48" s="5" t="s">
        <v>398</v>
      </c>
      <c r="AL48" s="5" t="s">
        <v>128</v>
      </c>
      <c r="AM48" s="5" t="s">
        <v>108</v>
      </c>
      <c r="AN48" s="5" t="s">
        <v>1855</v>
      </c>
      <c r="AO48" s="5" t="s">
        <v>1855</v>
      </c>
      <c r="AP48" s="5" t="s">
        <v>1854</v>
      </c>
      <c r="AQ48" s="5" t="s">
        <v>627</v>
      </c>
      <c r="AR48" s="5" t="s">
        <v>627</v>
      </c>
      <c r="AS48" s="5" t="s">
        <v>1856</v>
      </c>
      <c r="AT48" s="5" t="s">
        <v>108</v>
      </c>
      <c r="AU48" s="5" t="s">
        <v>108</v>
      </c>
      <c r="AV48" s="5" t="s">
        <v>1857</v>
      </c>
      <c r="AW48" s="5" t="s">
        <v>1854</v>
      </c>
      <c r="AX48" s="5" t="s">
        <v>108</v>
      </c>
      <c r="AY48" s="5" t="s">
        <v>108</v>
      </c>
      <c r="AZ48" s="5" t="s">
        <v>1858</v>
      </c>
      <c r="BA48" s="5" t="s">
        <v>108</v>
      </c>
      <c r="BB48" s="5" t="s">
        <v>1859</v>
      </c>
      <c r="BC48" s="5" t="s">
        <v>108</v>
      </c>
      <c r="BD48" s="5" t="s">
        <v>1860</v>
      </c>
      <c r="BE48" s="5" t="s">
        <v>1861</v>
      </c>
      <c r="BF48" s="5" t="s">
        <v>1862</v>
      </c>
      <c r="BG48" s="5" t="s">
        <v>1863</v>
      </c>
      <c r="BH48" s="5" t="s">
        <v>1864</v>
      </c>
      <c r="BI48" s="5" t="s">
        <v>1865</v>
      </c>
      <c r="BJ48" s="5" t="s">
        <v>1866</v>
      </c>
      <c r="BK48" s="5" t="s">
        <v>108</v>
      </c>
      <c r="BL48" s="5" t="s">
        <v>1867</v>
      </c>
      <c r="BM48" s="5" t="s">
        <v>1858</v>
      </c>
      <c r="BN48" s="5" t="s">
        <v>965</v>
      </c>
      <c r="BO48" s="5" t="s">
        <v>1866</v>
      </c>
      <c r="BP48" s="5" t="s">
        <v>1868</v>
      </c>
      <c r="BQ48" s="5" t="s">
        <v>1860</v>
      </c>
      <c r="BR48" s="5" t="s">
        <v>1869</v>
      </c>
      <c r="BS48" s="5">
        <v>8</v>
      </c>
      <c r="BT48" s="5" t="s">
        <v>1870</v>
      </c>
      <c r="BU48" s="5">
        <v>8</v>
      </c>
      <c r="BV48" s="5" t="s">
        <v>108</v>
      </c>
      <c r="BW48" s="5" t="s">
        <v>108</v>
      </c>
      <c r="BX48" s="5" t="s">
        <v>191</v>
      </c>
      <c r="BY48" s="5" t="s">
        <v>1871</v>
      </c>
      <c r="BZ48" s="5" t="s">
        <v>1872</v>
      </c>
      <c r="CA48" s="5" t="s">
        <v>149</v>
      </c>
      <c r="CB48" s="5" t="s">
        <v>1873</v>
      </c>
      <c r="CC48" s="5" t="s">
        <v>1873</v>
      </c>
      <c r="CD48" s="5" t="s">
        <v>108</v>
      </c>
      <c r="CE48" s="5" t="s">
        <v>108</v>
      </c>
      <c r="CF48" s="5" t="s">
        <v>1864</v>
      </c>
      <c r="CG48" s="5" t="s">
        <v>154</v>
      </c>
      <c r="CH48" s="5" t="s">
        <v>155</v>
      </c>
      <c r="CI48" s="5" t="s">
        <v>530</v>
      </c>
      <c r="CJ48" s="5" t="s">
        <v>493</v>
      </c>
      <c r="CK48" s="5" t="s">
        <v>398</v>
      </c>
      <c r="CL48" s="5" t="s">
        <v>108</v>
      </c>
      <c r="CM48" s="5">
        <f>IFERROR(VLOOKUP($A48,Quality_Appraisal!$A:$P,15,FALSE),"")</f>
        <v>20</v>
      </c>
      <c r="CN48" s="5" t="str">
        <f>IFERROR(VLOOKUP($A48,Quality_Appraisal!$A:$P,16,FALSE),"")</f>
        <v>Strong</v>
      </c>
      <c r="CO48" s="5" t="s">
        <v>156</v>
      </c>
      <c r="CP48" s="5" t="s">
        <v>455</v>
      </c>
      <c r="CQ48" s="5" t="s">
        <v>1852</v>
      </c>
      <c r="CR48" s="5" t="s">
        <v>108</v>
      </c>
      <c r="CS48" s="5" t="s">
        <v>427</v>
      </c>
      <c r="CT48" s="5" t="s">
        <v>1852</v>
      </c>
      <c r="CU48" s="5" t="s">
        <v>158</v>
      </c>
      <c r="CV48" s="5" t="s">
        <v>108</v>
      </c>
      <c r="CW48" s="5" t="s">
        <v>1874</v>
      </c>
      <c r="CX48" s="5" t="s">
        <v>1875</v>
      </c>
    </row>
    <row r="49" spans="1:102" ht="28.8" customHeight="1">
      <c r="A49" s="5" t="s">
        <v>1876</v>
      </c>
      <c r="B49" s="5" t="s">
        <v>1877</v>
      </c>
      <c r="C49" s="5" t="s">
        <v>1878</v>
      </c>
      <c r="D49" s="5" t="s">
        <v>105</v>
      </c>
      <c r="E49" s="5" t="s">
        <v>106</v>
      </c>
      <c r="F49" s="5" t="s">
        <v>2693</v>
      </c>
      <c r="G49" s="5" t="s">
        <v>2740</v>
      </c>
      <c r="H49" s="5">
        <v>4</v>
      </c>
      <c r="I49" s="5" t="s">
        <v>109</v>
      </c>
      <c r="J49" s="5" t="s">
        <v>1879</v>
      </c>
      <c r="K49" s="5" t="s">
        <v>1880</v>
      </c>
      <c r="L49" s="5" t="s">
        <v>1881</v>
      </c>
      <c r="M49" s="5" t="s">
        <v>941</v>
      </c>
      <c r="N49" s="5" t="s">
        <v>539</v>
      </c>
      <c r="O49" s="5" t="s">
        <v>1882</v>
      </c>
      <c r="P49" s="5" t="s">
        <v>208</v>
      </c>
      <c r="Q49" s="5" t="s">
        <v>115</v>
      </c>
      <c r="R49" s="5" t="s">
        <v>1883</v>
      </c>
      <c r="S49" s="5" t="s">
        <v>1884</v>
      </c>
      <c r="T49" s="5" t="s">
        <v>117</v>
      </c>
      <c r="U49" s="5">
        <v>5</v>
      </c>
      <c r="V49" s="5" t="s">
        <v>118</v>
      </c>
      <c r="W49" s="5" t="s">
        <v>1880</v>
      </c>
      <c r="X49" s="5" t="s">
        <v>1885</v>
      </c>
      <c r="Y49" s="5" t="s">
        <v>1886</v>
      </c>
      <c r="Z49" s="5" t="s">
        <v>121</v>
      </c>
      <c r="AA49" s="5" t="s">
        <v>1887</v>
      </c>
      <c r="AB49" s="5" t="s">
        <v>1888</v>
      </c>
      <c r="AC49" s="5" t="s">
        <v>108</v>
      </c>
      <c r="AD49" s="5" t="s">
        <v>1889</v>
      </c>
      <c r="AE49" s="5" t="s">
        <v>1890</v>
      </c>
      <c r="AF49" s="5" t="s">
        <v>1883</v>
      </c>
      <c r="AG49" s="5" t="s">
        <v>1884</v>
      </c>
      <c r="AH49" s="5" t="s">
        <v>217</v>
      </c>
      <c r="AI49" s="5" t="s">
        <v>218</v>
      </c>
      <c r="AJ49" s="5" t="s">
        <v>219</v>
      </c>
      <c r="AK49" s="5" t="s">
        <v>219</v>
      </c>
      <c r="AL49" s="5" t="s">
        <v>178</v>
      </c>
      <c r="AM49" s="5" t="s">
        <v>220</v>
      </c>
      <c r="AN49" s="5" t="s">
        <v>1891</v>
      </c>
      <c r="AO49" s="5" t="s">
        <v>1891</v>
      </c>
      <c r="AP49" s="5" t="s">
        <v>1892</v>
      </c>
      <c r="AQ49" s="5" t="s">
        <v>108</v>
      </c>
      <c r="AR49" s="5" t="s">
        <v>1889</v>
      </c>
      <c r="AS49" s="5" t="s">
        <v>1893</v>
      </c>
      <c r="AT49" s="5" t="s">
        <v>1894</v>
      </c>
      <c r="AU49" s="5" t="s">
        <v>1895</v>
      </c>
      <c r="AV49" s="5" t="s">
        <v>1896</v>
      </c>
      <c r="AW49" s="5" t="s">
        <v>1892</v>
      </c>
      <c r="AX49" s="5" t="s">
        <v>108</v>
      </c>
      <c r="AY49" s="5" t="s">
        <v>108</v>
      </c>
      <c r="AZ49" s="5" t="s">
        <v>1897</v>
      </c>
      <c r="BA49" s="5" t="s">
        <v>1898</v>
      </c>
      <c r="BB49" s="5" t="s">
        <v>1899</v>
      </c>
      <c r="BC49" s="5" t="s">
        <v>1900</v>
      </c>
      <c r="BD49" s="5" t="s">
        <v>1887</v>
      </c>
      <c r="BE49" s="5" t="s">
        <v>1901</v>
      </c>
      <c r="BF49" s="5" t="s">
        <v>1902</v>
      </c>
      <c r="BG49" s="5" t="s">
        <v>1903</v>
      </c>
      <c r="BH49" s="5" t="s">
        <v>1904</v>
      </c>
      <c r="BI49" s="5" t="s">
        <v>1905</v>
      </c>
      <c r="BJ49" s="5" t="s">
        <v>1906</v>
      </c>
      <c r="BK49" s="5" t="s">
        <v>1907</v>
      </c>
      <c r="BL49" s="5" t="s">
        <v>1908</v>
      </c>
      <c r="BM49" s="5" t="s">
        <v>1909</v>
      </c>
      <c r="BN49" s="5" t="s">
        <v>1910</v>
      </c>
      <c r="BO49" s="5" t="s">
        <v>1911</v>
      </c>
      <c r="BP49" s="5" t="s">
        <v>1903</v>
      </c>
      <c r="BQ49" s="5" t="s">
        <v>1887</v>
      </c>
      <c r="BR49" s="5" t="s">
        <v>1912</v>
      </c>
      <c r="BS49" s="5">
        <v>10</v>
      </c>
      <c r="BT49" s="5" t="s">
        <v>1906</v>
      </c>
      <c r="BU49" s="5">
        <v>1</v>
      </c>
      <c r="BV49" s="5" t="s">
        <v>108</v>
      </c>
      <c r="BW49" s="5" t="s">
        <v>1898</v>
      </c>
      <c r="BX49" s="5" t="s">
        <v>146</v>
      </c>
      <c r="BY49" s="5" t="s">
        <v>1913</v>
      </c>
      <c r="BZ49" s="5" t="s">
        <v>1914</v>
      </c>
      <c r="CA49" s="5" t="s">
        <v>248</v>
      </c>
      <c r="CB49" s="5" t="s">
        <v>1915</v>
      </c>
      <c r="CC49" s="5" t="s">
        <v>1915</v>
      </c>
      <c r="CD49" s="5" t="s">
        <v>1904</v>
      </c>
      <c r="CE49" s="5" t="s">
        <v>108</v>
      </c>
      <c r="CF49" s="5" t="s">
        <v>1904</v>
      </c>
      <c r="CG49" s="5" t="s">
        <v>569</v>
      </c>
      <c r="CH49" s="5" t="s">
        <v>1099</v>
      </c>
      <c r="CI49" s="5" t="s">
        <v>152</v>
      </c>
      <c r="CJ49" s="5" t="s">
        <v>493</v>
      </c>
      <c r="CK49" s="5" t="s">
        <v>219</v>
      </c>
      <c r="CL49" s="5" t="s">
        <v>569</v>
      </c>
      <c r="CM49" s="5">
        <f>IFERROR(VLOOKUP($A49,Quality_Appraisal!$A:$P,15,FALSE),"")</f>
        <v>24</v>
      </c>
      <c r="CN49" s="5" t="str">
        <f>IFERROR(VLOOKUP($A49,Quality_Appraisal!$A:$P,16,FALSE),"")</f>
        <v>Strong</v>
      </c>
      <c r="CO49" s="5" t="s">
        <v>156</v>
      </c>
      <c r="CP49" s="5" t="s">
        <v>455</v>
      </c>
      <c r="CQ49" s="5" t="s">
        <v>1887</v>
      </c>
      <c r="CR49" s="5" t="s">
        <v>108</v>
      </c>
      <c r="CS49" s="5" t="s">
        <v>1885</v>
      </c>
      <c r="CT49" s="5" t="s">
        <v>1887</v>
      </c>
      <c r="CU49" s="5" t="s">
        <v>253</v>
      </c>
      <c r="CV49" s="5" t="s">
        <v>108</v>
      </c>
      <c r="CW49" s="5" t="s">
        <v>1916</v>
      </c>
      <c r="CX49" s="5" t="s">
        <v>1917</v>
      </c>
    </row>
    <row r="50" spans="1:102" ht="28.8" customHeight="1">
      <c r="A50" s="5" t="s">
        <v>1918</v>
      </c>
      <c r="B50" s="5" t="s">
        <v>1919</v>
      </c>
      <c r="C50" s="5" t="s">
        <v>1920</v>
      </c>
      <c r="D50" s="5" t="s">
        <v>105</v>
      </c>
      <c r="E50" s="5" t="s">
        <v>106</v>
      </c>
      <c r="F50" s="5" t="s">
        <v>2693</v>
      </c>
      <c r="G50" s="5" t="s">
        <v>2740</v>
      </c>
      <c r="H50" s="5">
        <v>4</v>
      </c>
      <c r="I50" s="5" t="s">
        <v>109</v>
      </c>
      <c r="J50" s="5" t="s">
        <v>1921</v>
      </c>
      <c r="K50" s="5" t="s">
        <v>1922</v>
      </c>
      <c r="L50" s="5" t="s">
        <v>1923</v>
      </c>
      <c r="M50" s="5" t="s">
        <v>578</v>
      </c>
      <c r="N50" s="5" t="s">
        <v>108</v>
      </c>
      <c r="O50" s="5" t="s">
        <v>108</v>
      </c>
      <c r="P50" s="5" t="s">
        <v>580</v>
      </c>
      <c r="Q50" s="5" t="s">
        <v>115</v>
      </c>
      <c r="R50" s="5" t="s">
        <v>1924</v>
      </c>
      <c r="S50" s="5" t="s">
        <v>1925</v>
      </c>
      <c r="T50" s="5" t="s">
        <v>117</v>
      </c>
      <c r="U50" s="5">
        <v>5</v>
      </c>
      <c r="V50" s="5" t="s">
        <v>118</v>
      </c>
      <c r="W50" s="5" t="s">
        <v>1922</v>
      </c>
      <c r="X50" s="5" t="s">
        <v>427</v>
      </c>
      <c r="Y50" s="5" t="s">
        <v>1926</v>
      </c>
      <c r="Z50" s="5" t="s">
        <v>121</v>
      </c>
      <c r="AA50" s="5" t="s">
        <v>1927</v>
      </c>
      <c r="AB50" s="5" t="s">
        <v>1928</v>
      </c>
      <c r="AC50" s="5" t="s">
        <v>1928</v>
      </c>
      <c r="AD50" s="5" t="s">
        <v>1929</v>
      </c>
      <c r="AE50" s="5" t="s">
        <v>1930</v>
      </c>
      <c r="AF50" s="5" t="s">
        <v>1924</v>
      </c>
      <c r="AG50" s="5" t="s">
        <v>1925</v>
      </c>
      <c r="AH50" s="5" t="s">
        <v>125</v>
      </c>
      <c r="AI50" s="5" t="s">
        <v>126</v>
      </c>
      <c r="AJ50" s="5" t="s">
        <v>314</v>
      </c>
      <c r="AK50" s="5" t="s">
        <v>108</v>
      </c>
      <c r="AL50" s="5" t="s">
        <v>315</v>
      </c>
      <c r="AM50" s="5" t="s">
        <v>108</v>
      </c>
      <c r="AN50" s="5" t="s">
        <v>108</v>
      </c>
      <c r="AO50" s="5" t="s">
        <v>108</v>
      </c>
      <c r="AP50" s="5" t="s">
        <v>1931</v>
      </c>
      <c r="AQ50" s="5" t="s">
        <v>108</v>
      </c>
      <c r="AR50" s="5" t="s">
        <v>1929</v>
      </c>
      <c r="AS50" s="5" t="s">
        <v>1932</v>
      </c>
      <c r="AT50" s="5" t="s">
        <v>1933</v>
      </c>
      <c r="AU50" s="5" t="s">
        <v>1934</v>
      </c>
      <c r="AV50" s="5" t="s">
        <v>1935</v>
      </c>
      <c r="AW50" s="5" t="s">
        <v>1931</v>
      </c>
      <c r="AX50" s="5" t="s">
        <v>1936</v>
      </c>
      <c r="AY50" s="5" t="s">
        <v>108</v>
      </c>
      <c r="AZ50" s="5" t="s">
        <v>1937</v>
      </c>
      <c r="BA50" s="5" t="s">
        <v>1938</v>
      </c>
      <c r="BB50" s="5" t="s">
        <v>1939</v>
      </c>
      <c r="BC50" s="5" t="s">
        <v>1940</v>
      </c>
      <c r="BD50" s="5" t="s">
        <v>1941</v>
      </c>
      <c r="BE50" s="5" t="s">
        <v>1942</v>
      </c>
      <c r="BF50" s="5" t="s">
        <v>1943</v>
      </c>
      <c r="BG50" s="5" t="s">
        <v>1944</v>
      </c>
      <c r="BH50" s="5" t="s">
        <v>1945</v>
      </c>
      <c r="BI50" s="5" t="s">
        <v>1946</v>
      </c>
      <c r="BJ50" s="5" t="s">
        <v>1947</v>
      </c>
      <c r="BK50" s="5" t="s">
        <v>1948</v>
      </c>
      <c r="BL50" s="5" t="s">
        <v>1949</v>
      </c>
      <c r="BM50" s="5" t="s">
        <v>1950</v>
      </c>
      <c r="BN50" s="5" t="s">
        <v>1937</v>
      </c>
      <c r="BO50" s="5" t="s">
        <v>1951</v>
      </c>
      <c r="BP50" s="5" t="s">
        <v>1952</v>
      </c>
      <c r="BQ50" s="5" t="s">
        <v>1941</v>
      </c>
      <c r="BR50" s="5" t="s">
        <v>1953</v>
      </c>
      <c r="BS50" s="5">
        <v>2</v>
      </c>
      <c r="BT50" s="5" t="s">
        <v>1949</v>
      </c>
      <c r="BU50" s="5">
        <v>2</v>
      </c>
      <c r="BV50" s="5" t="s">
        <v>108</v>
      </c>
      <c r="BW50" s="5" t="s">
        <v>1938</v>
      </c>
      <c r="BX50" s="5" t="s">
        <v>191</v>
      </c>
      <c r="BY50" s="5" t="s">
        <v>1954</v>
      </c>
      <c r="BZ50" s="5" t="s">
        <v>108</v>
      </c>
      <c r="CA50" s="5" t="s">
        <v>1955</v>
      </c>
      <c r="CB50" s="5" t="s">
        <v>108</v>
      </c>
      <c r="CC50" s="5" t="s">
        <v>108</v>
      </c>
      <c r="CD50" s="5" t="s">
        <v>1956</v>
      </c>
      <c r="CE50" s="5" t="s">
        <v>108</v>
      </c>
      <c r="CF50" s="5" t="s">
        <v>1945</v>
      </c>
      <c r="CG50" s="5" t="s">
        <v>154</v>
      </c>
      <c r="CH50" s="5" t="s">
        <v>710</v>
      </c>
      <c r="CI50" s="5" t="s">
        <v>494</v>
      </c>
      <c r="CJ50" s="5" t="s">
        <v>530</v>
      </c>
      <c r="CK50" s="5" t="s">
        <v>108</v>
      </c>
      <c r="CL50" s="5" t="s">
        <v>108</v>
      </c>
      <c r="CM50" s="5">
        <f>IFERROR(VLOOKUP($A50,Quality_Appraisal!$A:$P,15,FALSE),"")</f>
        <v>20</v>
      </c>
      <c r="CN50" s="5" t="str">
        <f>IFERROR(VLOOKUP($A50,Quality_Appraisal!$A:$P,16,FALSE),"")</f>
        <v>Strong</v>
      </c>
      <c r="CO50" s="5" t="s">
        <v>156</v>
      </c>
      <c r="CP50" s="5" t="s">
        <v>455</v>
      </c>
      <c r="CQ50" s="5" t="s">
        <v>1927</v>
      </c>
      <c r="CR50" s="5" t="s">
        <v>108</v>
      </c>
      <c r="CS50" s="5" t="s">
        <v>427</v>
      </c>
      <c r="CT50" s="5" t="s">
        <v>1927</v>
      </c>
      <c r="CU50" s="5" t="s">
        <v>1957</v>
      </c>
      <c r="CV50" s="5" t="s">
        <v>108</v>
      </c>
      <c r="CW50" s="5" t="s">
        <v>1958</v>
      </c>
      <c r="CX50" s="5" t="s">
        <v>1959</v>
      </c>
    </row>
    <row r="51" spans="1:102" ht="28.8" customHeight="1">
      <c r="A51" s="5" t="s">
        <v>1960</v>
      </c>
      <c r="B51" s="5" t="s">
        <v>1961</v>
      </c>
      <c r="C51" s="5" t="s">
        <v>1962</v>
      </c>
      <c r="D51" s="5" t="s">
        <v>105</v>
      </c>
      <c r="E51" s="5" t="s">
        <v>106</v>
      </c>
      <c r="F51" s="5" t="s">
        <v>2693</v>
      </c>
      <c r="G51" s="5" t="s">
        <v>2740</v>
      </c>
      <c r="H51" s="5">
        <v>4</v>
      </c>
      <c r="I51" s="5" t="s">
        <v>109</v>
      </c>
      <c r="J51" s="5" t="s">
        <v>108</v>
      </c>
      <c r="K51" s="5" t="s">
        <v>1963</v>
      </c>
      <c r="L51" s="5" t="s">
        <v>1964</v>
      </c>
      <c r="M51" s="5" t="s">
        <v>112</v>
      </c>
      <c r="N51" s="5" t="s">
        <v>113</v>
      </c>
      <c r="O51" s="5" t="s">
        <v>1965</v>
      </c>
      <c r="P51" s="5" t="s">
        <v>108</v>
      </c>
      <c r="Q51" s="5" t="s">
        <v>115</v>
      </c>
      <c r="R51" s="5" t="s">
        <v>108</v>
      </c>
      <c r="S51" s="5" t="s">
        <v>1966</v>
      </c>
      <c r="T51" s="5" t="s">
        <v>117</v>
      </c>
      <c r="U51" s="5">
        <v>5</v>
      </c>
      <c r="V51" s="5" t="s">
        <v>118</v>
      </c>
      <c r="W51" s="5" t="s">
        <v>1963</v>
      </c>
      <c r="X51" s="5" t="s">
        <v>119</v>
      </c>
      <c r="Y51" s="5" t="s">
        <v>1151</v>
      </c>
      <c r="Z51" s="5" t="s">
        <v>121</v>
      </c>
      <c r="AA51" s="5" t="s">
        <v>1967</v>
      </c>
      <c r="AB51" s="5" t="s">
        <v>108</v>
      </c>
      <c r="AC51" s="5" t="s">
        <v>1968</v>
      </c>
      <c r="AD51" s="5" t="s">
        <v>697</v>
      </c>
      <c r="AE51" s="5" t="s">
        <v>1969</v>
      </c>
      <c r="AF51" s="5" t="s">
        <v>697</v>
      </c>
      <c r="AG51" s="5" t="s">
        <v>1966</v>
      </c>
      <c r="AH51" s="5" t="s">
        <v>125</v>
      </c>
      <c r="AI51" s="5" t="s">
        <v>126</v>
      </c>
      <c r="AJ51" s="5" t="s">
        <v>271</v>
      </c>
      <c r="AK51" s="5" t="s">
        <v>271</v>
      </c>
      <c r="AL51" s="5" t="s">
        <v>128</v>
      </c>
      <c r="AM51" s="5" t="s">
        <v>129</v>
      </c>
      <c r="AN51" s="5" t="s">
        <v>1970</v>
      </c>
      <c r="AO51" s="5" t="s">
        <v>1970</v>
      </c>
      <c r="AP51" s="5" t="s">
        <v>1971</v>
      </c>
      <c r="AQ51" s="5" t="s">
        <v>108</v>
      </c>
      <c r="AR51" s="5" t="s">
        <v>697</v>
      </c>
      <c r="AS51" s="5" t="s">
        <v>108</v>
      </c>
      <c r="AT51" s="5" t="s">
        <v>1972</v>
      </c>
      <c r="AU51" s="5" t="s">
        <v>1973</v>
      </c>
      <c r="AV51" s="5" t="s">
        <v>1972</v>
      </c>
      <c r="AW51" s="5" t="s">
        <v>1971</v>
      </c>
      <c r="AX51" s="5" t="s">
        <v>108</v>
      </c>
      <c r="AY51" s="5" t="s">
        <v>108</v>
      </c>
      <c r="AZ51" s="5" t="s">
        <v>1974</v>
      </c>
      <c r="BA51" s="5" t="s">
        <v>1975</v>
      </c>
      <c r="BB51" s="5" t="s">
        <v>1976</v>
      </c>
      <c r="BC51" s="5" t="s">
        <v>1977</v>
      </c>
      <c r="BD51" s="5" t="s">
        <v>1978</v>
      </c>
      <c r="BE51" s="5" t="s">
        <v>1979</v>
      </c>
      <c r="BF51" s="5" t="s">
        <v>1980</v>
      </c>
      <c r="BG51" s="5" t="s">
        <v>108</v>
      </c>
      <c r="BH51" s="5" t="s">
        <v>1981</v>
      </c>
      <c r="BI51" s="5" t="s">
        <v>1982</v>
      </c>
      <c r="BJ51" s="5" t="s">
        <v>1983</v>
      </c>
      <c r="BK51" s="5" t="s">
        <v>1977</v>
      </c>
      <c r="BL51" s="5" t="s">
        <v>1984</v>
      </c>
      <c r="BM51" s="5" t="s">
        <v>1985</v>
      </c>
      <c r="BN51" s="5" t="s">
        <v>1981</v>
      </c>
      <c r="BO51" s="5" t="s">
        <v>108</v>
      </c>
      <c r="BP51" s="5" t="s">
        <v>1968</v>
      </c>
      <c r="BQ51" s="5" t="s">
        <v>1978</v>
      </c>
      <c r="BR51" s="5" t="s">
        <v>1986</v>
      </c>
      <c r="BS51" s="5">
        <v>1</v>
      </c>
      <c r="BT51" s="5" t="s">
        <v>1987</v>
      </c>
      <c r="BU51" s="5">
        <v>6</v>
      </c>
      <c r="BV51" s="5" t="s">
        <v>108</v>
      </c>
      <c r="BW51" s="5" t="s">
        <v>1975</v>
      </c>
      <c r="BX51" s="5" t="s">
        <v>191</v>
      </c>
      <c r="BY51" s="5" t="s">
        <v>1988</v>
      </c>
      <c r="BZ51" s="5" t="s">
        <v>1989</v>
      </c>
      <c r="CA51" s="5" t="s">
        <v>248</v>
      </c>
      <c r="CB51" s="5" t="s">
        <v>1989</v>
      </c>
      <c r="CC51" s="5" t="s">
        <v>1989</v>
      </c>
      <c r="CD51" s="5" t="s">
        <v>1967</v>
      </c>
      <c r="CE51" s="5" t="s">
        <v>108</v>
      </c>
      <c r="CF51" s="5" t="s">
        <v>1981</v>
      </c>
      <c r="CG51" s="5" t="s">
        <v>152</v>
      </c>
      <c r="CH51" s="5" t="s">
        <v>154</v>
      </c>
      <c r="CI51" s="5" t="s">
        <v>155</v>
      </c>
      <c r="CJ51" s="5" t="s">
        <v>251</v>
      </c>
      <c r="CK51" s="5" t="s">
        <v>271</v>
      </c>
      <c r="CL51" s="5" t="s">
        <v>108</v>
      </c>
      <c r="CM51" s="5">
        <f>IFERROR(VLOOKUP($A51,Quality_Appraisal!$A:$P,15,FALSE),"")</f>
        <v>24</v>
      </c>
      <c r="CN51" s="5" t="str">
        <f>IFERROR(VLOOKUP($A51,Quality_Appraisal!$A:$P,16,FALSE),"")</f>
        <v>Strong</v>
      </c>
      <c r="CO51" s="5" t="s">
        <v>156</v>
      </c>
      <c r="CP51" s="5" t="s">
        <v>157</v>
      </c>
      <c r="CQ51" s="5" t="s">
        <v>1967</v>
      </c>
      <c r="CR51" s="5" t="s">
        <v>108</v>
      </c>
      <c r="CS51" s="5" t="s">
        <v>119</v>
      </c>
      <c r="CT51" s="5" t="s">
        <v>1967</v>
      </c>
      <c r="CU51" s="5" t="s">
        <v>253</v>
      </c>
      <c r="CV51" s="5" t="s">
        <v>108</v>
      </c>
      <c r="CW51" s="5" t="s">
        <v>1990</v>
      </c>
      <c r="CX51" s="5" t="s">
        <v>108</v>
      </c>
    </row>
  </sheetData>
  <conditionalFormatting sqref="D2:D51">
    <cfRule type="expression" dxfId="1" priority="1">
      <formula>D2="Completed"</formula>
    </cfRule>
    <cfRule type="expression" dxfId="0" priority="2">
      <formula>D2="Needs Human Check"</formula>
    </cfRule>
  </conditionalFormatting>
  <conditionalFormatting sqref="CM2:CM51">
    <cfRule type="dataBar" priority="3">
      <dataBar>
        <cfvo type="min"/>
        <cfvo type="max"/>
        <color rgb="FF5B9BD5"/>
      </dataBar>
    </cfRule>
    <cfRule type="dataBar" priority="4">
      <dataBar>
        <cfvo type="min"/>
        <cfvo type="max"/>
        <color rgb="FF5B9BD5"/>
      </dataBar>
      <extLst>
        <ext xmlns:x14="http://schemas.microsoft.com/office/spreadsheetml/2009/9/main" uri="{B025F937-C7B1-47D3-B67F-A62EFF666E3E}">
          <x14:id>{D5F2307A-5C08-BF7E-0D71-7CBCDB33A944}</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5F2307A-5C08-BF7E-0D71-7CBCDB33A944}">
            <x14:dataBar>
              <x14:cfvo type="min"/>
              <x14:cfvo type="max"/>
              <x14:negativeFillColor auto="1"/>
              <x14:axisColor auto="1"/>
            </x14:dataBar>
          </x14:cfRule>
          <xm:sqref>CM2:CM51</xm:sqref>
        </x14:conditionalFormatting>
      </x14:conditionalFormattings>
    </ext>
    <ext xmlns:x14="http://schemas.microsoft.com/office/spreadsheetml/2009/9/main" uri="{CCE6A557-97BC-4b89-ADB6-D9C93CAAB3DF}">
      <x14:dataValidations xmlns:xm="http://schemas.microsoft.com/office/excel/2006/main" count="14">
        <x14:dataValidation type="list" xr:uid="{00000000-0002-0000-0100-000000000000}">
          <x14:formula1>
            <xm:f>Controlled_Vocab!$A$2:$A$6</xm:f>
          </x14:formula1>
          <xm:sqref>D2:D51</xm:sqref>
        </x14:dataValidation>
        <x14:dataValidation type="list" xr:uid="{00000000-0002-0000-0100-000001000000}">
          <x14:formula1>
            <xm:f>Controlled_Vocab!$B$2:$B$5</xm:f>
          </x14:formula1>
          <xm:sqref>F2:F51</xm:sqref>
        </x14:dataValidation>
        <x14:dataValidation type="list" xr:uid="{00000000-0002-0000-0100-000002000000}">
          <x14:formula1>
            <xm:f>Controlled_Vocab!$N$2:$N$6</xm:f>
          </x14:formula1>
          <xm:sqref>H2:H51 U2:U51</xm:sqref>
        </x14:dataValidation>
        <x14:dataValidation type="list" xr:uid="{00000000-0002-0000-0100-000003000000}">
          <x14:formula1>
            <xm:f>Controlled_Vocab!$E$2:$E$10</xm:f>
          </x14:formula1>
          <xm:sqref>N2:N51</xm:sqref>
        </x14:dataValidation>
        <x14:dataValidation type="list" xr:uid="{00000000-0002-0000-0100-000004000000}">
          <x14:formula1>
            <xm:f>Controlled_Vocab!$C$2:$C$6</xm:f>
          </x14:formula1>
          <xm:sqref>T2:T51</xm:sqref>
        </x14:dataValidation>
        <x14:dataValidation type="list" xr:uid="{00000000-0002-0000-0100-000006000000}">
          <x14:formula1>
            <xm:f>Controlled_Vocab!$D$2:$D$6</xm:f>
          </x14:formula1>
          <xm:sqref>V2:V51</xm:sqref>
        </x14:dataValidation>
        <x14:dataValidation type="list" xr:uid="{00000000-0002-0000-0100-000007000000}">
          <x14:formula1>
            <xm:f>Controlled_Vocab!$F$2:$F$10</xm:f>
          </x14:formula1>
          <xm:sqref>AH2:AH51</xm:sqref>
        </x14:dataValidation>
        <x14:dataValidation type="list" xr:uid="{00000000-0002-0000-0100-000008000000}">
          <x14:formula1>
            <xm:f>Controlled_Vocab!$G$2:$G$9</xm:f>
          </x14:formula1>
          <xm:sqref>AI2:AI51</xm:sqref>
        </x14:dataValidation>
        <x14:dataValidation type="list" xr:uid="{00000000-0002-0000-0100-000009000000}">
          <x14:formula1>
            <xm:f>Controlled_Vocab!$H$2:$H$18</xm:f>
          </x14:formula1>
          <xm:sqref>AK2:AK51</xm:sqref>
        </x14:dataValidation>
        <x14:dataValidation type="list" xr:uid="{00000000-0002-0000-0100-00000A000000}">
          <x14:formula1>
            <xm:f>Controlled_Vocab!$I$2:$I$6</xm:f>
          </x14:formula1>
          <xm:sqref>AL2:AL51</xm:sqref>
        </x14:dataValidation>
        <x14:dataValidation type="list" xr:uid="{00000000-0002-0000-0100-00000B000000}">
          <x14:formula1>
            <xm:f>Controlled_Vocab!$K$2:$K$6</xm:f>
          </x14:formula1>
          <xm:sqref>BX2:BX51</xm:sqref>
        </x14:dataValidation>
        <x14:dataValidation type="list" xr:uid="{00000000-0002-0000-0100-00000C000000}">
          <x14:formula1>
            <xm:f>Controlled_Vocab!$J$2:$J$23</xm:f>
          </x14:formula1>
          <xm:sqref>CG2:CJ51</xm:sqref>
        </x14:dataValidation>
        <x14:dataValidation type="list" xr:uid="{00000000-0002-0000-0100-000010000000}">
          <x14:formula1>
            <xm:f>Controlled_Vocab!$M$2:$M$5</xm:f>
          </x14:formula1>
          <xm:sqref>CN2:CN51</xm:sqref>
        </x14:dataValidation>
        <x14:dataValidation type="list" xr:uid="{00000000-0002-0000-0100-000011000000}">
          <x14:formula1>
            <xm:f>Controlled_Vocab!$L$2:$L$6</xm:f>
          </x14:formula1>
          <xm:sqref>CO2:CO51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1"/>
  <sheetViews>
    <sheetView workbookViewId="0"/>
  </sheetViews>
  <sheetFormatPr defaultRowHeight="13.8"/>
  <cols>
    <col min="1" max="4" width="20" customWidth="1"/>
    <col min="5" max="5" width="40" customWidth="1"/>
    <col min="6" max="7" width="20" customWidth="1"/>
    <col min="8" max="10" width="40" customWidth="1"/>
    <col min="11" max="14" width="20" customWidth="1"/>
    <col min="15" max="15" width="40" customWidth="1"/>
  </cols>
  <sheetData>
    <row r="1" spans="1:15" ht="27.6">
      <c r="A1" s="4" t="s">
        <v>1991</v>
      </c>
      <c r="B1" s="4" t="s">
        <v>0</v>
      </c>
      <c r="C1" s="4" t="s">
        <v>1992</v>
      </c>
      <c r="D1" s="4" t="s">
        <v>1993</v>
      </c>
      <c r="E1" s="4" t="s">
        <v>1994</v>
      </c>
      <c r="F1" s="4" t="s">
        <v>1995</v>
      </c>
      <c r="G1" s="4" t="s">
        <v>1996</v>
      </c>
      <c r="H1" s="4" t="s">
        <v>1997</v>
      </c>
      <c r="I1" s="4" t="s">
        <v>1998</v>
      </c>
      <c r="J1" s="4" t="s">
        <v>1999</v>
      </c>
      <c r="K1" s="4" t="s">
        <v>2000</v>
      </c>
      <c r="L1" s="4" t="s">
        <v>2001</v>
      </c>
      <c r="M1" s="4" t="s">
        <v>2002</v>
      </c>
      <c r="N1" s="4" t="s">
        <v>2003</v>
      </c>
      <c r="O1" s="4" t="s">
        <v>2004</v>
      </c>
    </row>
    <row r="2" spans="1:15" ht="179.4">
      <c r="A2" s="5" t="s">
        <v>2005</v>
      </c>
      <c r="B2" s="5" t="s">
        <v>102</v>
      </c>
      <c r="C2" s="5" t="s">
        <v>152</v>
      </c>
      <c r="D2" s="5" t="s">
        <v>2006</v>
      </c>
      <c r="E2" s="5" t="s">
        <v>123</v>
      </c>
      <c r="F2" s="5">
        <v>1</v>
      </c>
      <c r="G2" s="5" t="s">
        <v>2007</v>
      </c>
      <c r="H2" s="5" t="s">
        <v>2008</v>
      </c>
      <c r="I2" s="5" t="s">
        <v>2009</v>
      </c>
      <c r="J2" s="5" t="s">
        <v>2010</v>
      </c>
      <c r="K2" s="5" t="s">
        <v>2011</v>
      </c>
      <c r="L2" s="5" t="s">
        <v>108</v>
      </c>
      <c r="M2" s="5">
        <v>4</v>
      </c>
      <c r="N2" s="5" t="s">
        <v>2012</v>
      </c>
      <c r="O2" s="5" t="s">
        <v>2013</v>
      </c>
    </row>
    <row r="3" spans="1:15" ht="55.2">
      <c r="A3" s="5" t="s">
        <v>2014</v>
      </c>
      <c r="B3" s="5" t="s">
        <v>102</v>
      </c>
      <c r="C3" s="5" t="s">
        <v>153</v>
      </c>
      <c r="D3" s="5" t="s">
        <v>2006</v>
      </c>
      <c r="E3" s="5" t="s">
        <v>142</v>
      </c>
      <c r="F3" s="5">
        <v>5</v>
      </c>
      <c r="G3" s="5" t="s">
        <v>2015</v>
      </c>
      <c r="H3" s="5" t="s">
        <v>2016</v>
      </c>
      <c r="I3" s="5" t="s">
        <v>2017</v>
      </c>
      <c r="J3" s="5" t="s">
        <v>2018</v>
      </c>
      <c r="K3" s="5" t="s">
        <v>2011</v>
      </c>
      <c r="L3" s="5" t="s">
        <v>108</v>
      </c>
      <c r="M3" s="5">
        <v>4</v>
      </c>
      <c r="N3" s="5" t="s">
        <v>2012</v>
      </c>
      <c r="O3" s="5" t="s">
        <v>2013</v>
      </c>
    </row>
    <row r="4" spans="1:15" ht="124.2">
      <c r="A4" s="5" t="s">
        <v>2019</v>
      </c>
      <c r="B4" s="5" t="s">
        <v>102</v>
      </c>
      <c r="C4" s="5" t="s">
        <v>154</v>
      </c>
      <c r="D4" s="5" t="s">
        <v>2006</v>
      </c>
      <c r="E4" s="5" t="s">
        <v>2020</v>
      </c>
      <c r="F4" s="5">
        <v>2</v>
      </c>
      <c r="G4" s="5" t="s">
        <v>2021</v>
      </c>
      <c r="H4" s="5" t="s">
        <v>2022</v>
      </c>
      <c r="I4" s="5" t="s">
        <v>2023</v>
      </c>
      <c r="J4" s="5" t="s">
        <v>2018</v>
      </c>
      <c r="K4" s="5" t="s">
        <v>2011</v>
      </c>
      <c r="L4" s="5" t="s">
        <v>108</v>
      </c>
      <c r="M4" s="5">
        <v>4</v>
      </c>
      <c r="N4" s="5" t="s">
        <v>2012</v>
      </c>
      <c r="O4" s="5" t="s">
        <v>2013</v>
      </c>
    </row>
    <row r="5" spans="1:15" ht="55.2">
      <c r="A5" s="5" t="s">
        <v>2024</v>
      </c>
      <c r="B5" s="5" t="s">
        <v>102</v>
      </c>
      <c r="C5" s="5" t="s">
        <v>152</v>
      </c>
      <c r="D5" s="5" t="s">
        <v>2025</v>
      </c>
      <c r="E5" s="5" t="s">
        <v>2026</v>
      </c>
      <c r="F5" s="5">
        <v>1</v>
      </c>
      <c r="G5" s="5" t="s">
        <v>2007</v>
      </c>
      <c r="H5" s="5" t="s">
        <v>2008</v>
      </c>
      <c r="I5" s="5" t="s">
        <v>2027</v>
      </c>
      <c r="J5" s="5" t="s">
        <v>2010</v>
      </c>
      <c r="K5" s="5" t="s">
        <v>2011</v>
      </c>
      <c r="L5" s="5" t="s">
        <v>108</v>
      </c>
      <c r="M5" s="5">
        <v>4</v>
      </c>
      <c r="N5" s="5" t="s">
        <v>2012</v>
      </c>
      <c r="O5" s="5" t="s">
        <v>2013</v>
      </c>
    </row>
    <row r="6" spans="1:15" ht="82.8">
      <c r="A6" s="5" t="s">
        <v>2028</v>
      </c>
      <c r="B6" s="5" t="s">
        <v>160</v>
      </c>
      <c r="C6" s="5" t="s">
        <v>194</v>
      </c>
      <c r="D6" s="5" t="s">
        <v>2006</v>
      </c>
      <c r="E6" s="5" t="s">
        <v>189</v>
      </c>
      <c r="F6" s="5">
        <v>2</v>
      </c>
      <c r="G6" s="5" t="s">
        <v>2007</v>
      </c>
      <c r="H6" s="5" t="s">
        <v>2029</v>
      </c>
      <c r="I6" s="5" t="s">
        <v>2030</v>
      </c>
      <c r="J6" s="5" t="s">
        <v>2031</v>
      </c>
      <c r="K6" s="5" t="s">
        <v>2011</v>
      </c>
      <c r="L6" s="5" t="s">
        <v>108</v>
      </c>
      <c r="M6" s="5">
        <v>4</v>
      </c>
      <c r="N6" s="5" t="s">
        <v>2012</v>
      </c>
      <c r="O6" s="5" t="s">
        <v>2013</v>
      </c>
    </row>
    <row r="7" spans="1:15" ht="262.2">
      <c r="A7" s="5" t="s">
        <v>2032</v>
      </c>
      <c r="B7" s="5" t="s">
        <v>160</v>
      </c>
      <c r="C7" s="5" t="s">
        <v>152</v>
      </c>
      <c r="D7" s="5" t="s">
        <v>2006</v>
      </c>
      <c r="E7" s="5" t="s">
        <v>190</v>
      </c>
      <c r="F7" s="5">
        <v>2</v>
      </c>
      <c r="G7" s="5" t="s">
        <v>2007</v>
      </c>
      <c r="H7" s="5" t="s">
        <v>2008</v>
      </c>
      <c r="I7" s="5" t="s">
        <v>2033</v>
      </c>
      <c r="J7" s="5" t="s">
        <v>2010</v>
      </c>
      <c r="K7" s="5" t="s">
        <v>2011</v>
      </c>
      <c r="L7" s="5" t="s">
        <v>108</v>
      </c>
      <c r="M7" s="5">
        <v>4</v>
      </c>
      <c r="N7" s="5" t="s">
        <v>2012</v>
      </c>
      <c r="O7" s="5" t="s">
        <v>2013</v>
      </c>
    </row>
    <row r="8" spans="1:15" ht="41.4">
      <c r="A8" s="5" t="s">
        <v>2034</v>
      </c>
      <c r="B8" s="5" t="s">
        <v>160</v>
      </c>
      <c r="C8" s="5" t="s">
        <v>195</v>
      </c>
      <c r="D8" s="5" t="s">
        <v>2006</v>
      </c>
      <c r="E8" s="5" t="s">
        <v>171</v>
      </c>
      <c r="F8" s="5">
        <v>2</v>
      </c>
      <c r="G8" s="5" t="s">
        <v>2007</v>
      </c>
      <c r="H8" s="5" t="s">
        <v>2035</v>
      </c>
      <c r="I8" s="5" t="s">
        <v>2036</v>
      </c>
      <c r="J8" s="5" t="s">
        <v>2018</v>
      </c>
      <c r="K8" s="5" t="s">
        <v>2011</v>
      </c>
      <c r="L8" s="5" t="s">
        <v>108</v>
      </c>
      <c r="M8" s="5">
        <v>4</v>
      </c>
      <c r="N8" s="5" t="s">
        <v>2012</v>
      </c>
      <c r="O8" s="5" t="s">
        <v>2013</v>
      </c>
    </row>
    <row r="9" spans="1:15" ht="55.2">
      <c r="A9" s="5" t="s">
        <v>2037</v>
      </c>
      <c r="B9" s="5" t="s">
        <v>160</v>
      </c>
      <c r="C9" s="5" t="s">
        <v>194</v>
      </c>
      <c r="D9" s="5" t="s">
        <v>2025</v>
      </c>
      <c r="E9" s="5" t="s">
        <v>2038</v>
      </c>
      <c r="F9" s="5">
        <v>4</v>
      </c>
      <c r="G9" s="5" t="s">
        <v>2039</v>
      </c>
      <c r="H9" s="5" t="s">
        <v>2029</v>
      </c>
      <c r="I9" s="5" t="s">
        <v>2027</v>
      </c>
      <c r="J9" s="5" t="s">
        <v>2031</v>
      </c>
      <c r="K9" s="5" t="s">
        <v>2011</v>
      </c>
      <c r="L9" s="5" t="s">
        <v>108</v>
      </c>
      <c r="M9" s="5">
        <v>4</v>
      </c>
      <c r="N9" s="5" t="s">
        <v>2012</v>
      </c>
      <c r="O9" s="5" t="s">
        <v>2013</v>
      </c>
    </row>
    <row r="10" spans="1:15" ht="55.2">
      <c r="A10" s="5" t="s">
        <v>2040</v>
      </c>
      <c r="B10" s="5" t="s">
        <v>199</v>
      </c>
      <c r="C10" s="5" t="s">
        <v>152</v>
      </c>
      <c r="D10" s="5" t="s">
        <v>2006</v>
      </c>
      <c r="E10" s="5" t="s">
        <v>242</v>
      </c>
      <c r="F10" s="5">
        <v>1</v>
      </c>
      <c r="G10" s="5" t="s">
        <v>2007</v>
      </c>
      <c r="H10" s="5" t="s">
        <v>2008</v>
      </c>
      <c r="I10" s="5" t="s">
        <v>2009</v>
      </c>
      <c r="J10" s="5" t="s">
        <v>2010</v>
      </c>
      <c r="K10" s="5" t="s">
        <v>2011</v>
      </c>
      <c r="L10" s="5" t="s">
        <v>108</v>
      </c>
      <c r="M10" s="5">
        <v>4</v>
      </c>
      <c r="N10" s="5" t="s">
        <v>2012</v>
      </c>
      <c r="O10" s="5" t="s">
        <v>2013</v>
      </c>
    </row>
    <row r="11" spans="1:15" ht="41.4">
      <c r="A11" s="5" t="s">
        <v>2041</v>
      </c>
      <c r="B11" s="5" t="s">
        <v>199</v>
      </c>
      <c r="C11" s="5" t="s">
        <v>154</v>
      </c>
      <c r="D11" s="5" t="s">
        <v>2006</v>
      </c>
      <c r="E11" s="5" t="s">
        <v>245</v>
      </c>
      <c r="F11" s="5">
        <v>7</v>
      </c>
      <c r="G11" s="5" t="s">
        <v>2021</v>
      </c>
      <c r="H11" s="5" t="s">
        <v>2022</v>
      </c>
      <c r="I11" s="5" t="s">
        <v>2023</v>
      </c>
      <c r="J11" s="5" t="s">
        <v>2018</v>
      </c>
      <c r="K11" s="5" t="s">
        <v>2011</v>
      </c>
      <c r="L11" s="5" t="s">
        <v>108</v>
      </c>
      <c r="M11" s="5">
        <v>4</v>
      </c>
      <c r="N11" s="5" t="s">
        <v>2012</v>
      </c>
      <c r="O11" s="5" t="s">
        <v>2013</v>
      </c>
    </row>
    <row r="12" spans="1:15" ht="82.8">
      <c r="A12" s="5" t="s">
        <v>2042</v>
      </c>
      <c r="B12" s="5" t="s">
        <v>199</v>
      </c>
      <c r="C12" s="5" t="s">
        <v>251</v>
      </c>
      <c r="D12" s="5" t="s">
        <v>2006</v>
      </c>
      <c r="E12" s="5" t="s">
        <v>2043</v>
      </c>
      <c r="F12" s="5">
        <v>1</v>
      </c>
      <c r="G12" s="5" t="s">
        <v>2007</v>
      </c>
      <c r="H12" s="5" t="s">
        <v>2044</v>
      </c>
      <c r="I12" s="5" t="s">
        <v>2045</v>
      </c>
      <c r="J12" s="5" t="s">
        <v>2018</v>
      </c>
      <c r="K12" s="5" t="s">
        <v>2011</v>
      </c>
      <c r="L12" s="5" t="s">
        <v>108</v>
      </c>
      <c r="M12" s="5">
        <v>4</v>
      </c>
      <c r="N12" s="5" t="s">
        <v>2012</v>
      </c>
      <c r="O12" s="5" t="s">
        <v>2013</v>
      </c>
    </row>
    <row r="13" spans="1:15" ht="55.2">
      <c r="A13" s="5" t="s">
        <v>2046</v>
      </c>
      <c r="B13" s="5" t="s">
        <v>199</v>
      </c>
      <c r="C13" s="5" t="s">
        <v>152</v>
      </c>
      <c r="D13" s="5" t="s">
        <v>2025</v>
      </c>
      <c r="E13" s="5" t="s">
        <v>229</v>
      </c>
      <c r="F13" s="5">
        <v>1</v>
      </c>
      <c r="G13" s="5" t="s">
        <v>2007</v>
      </c>
      <c r="H13" s="5" t="s">
        <v>2008</v>
      </c>
      <c r="I13" s="5" t="s">
        <v>2027</v>
      </c>
      <c r="J13" s="5" t="s">
        <v>2010</v>
      </c>
      <c r="K13" s="5" t="s">
        <v>2011</v>
      </c>
      <c r="L13" s="5" t="s">
        <v>108</v>
      </c>
      <c r="M13" s="5">
        <v>4</v>
      </c>
      <c r="N13" s="5" t="s">
        <v>2012</v>
      </c>
      <c r="O13" s="5" t="s">
        <v>2013</v>
      </c>
    </row>
    <row r="14" spans="1:15" ht="41.4">
      <c r="A14" s="5" t="s">
        <v>2047</v>
      </c>
      <c r="B14" s="5" t="s">
        <v>256</v>
      </c>
      <c r="C14" s="5" t="s">
        <v>152</v>
      </c>
      <c r="D14" s="5" t="s">
        <v>2006</v>
      </c>
      <c r="E14" s="5" t="s">
        <v>292</v>
      </c>
      <c r="F14" s="5">
        <v>2</v>
      </c>
      <c r="G14" s="5" t="s">
        <v>2015</v>
      </c>
      <c r="H14" s="5" t="s">
        <v>2008</v>
      </c>
      <c r="I14" s="5" t="s">
        <v>2033</v>
      </c>
      <c r="J14" s="5" t="s">
        <v>2010</v>
      </c>
      <c r="K14" s="5" t="s">
        <v>2011</v>
      </c>
      <c r="L14" s="5" t="s">
        <v>108</v>
      </c>
      <c r="M14" s="5">
        <v>4</v>
      </c>
      <c r="N14" s="5" t="s">
        <v>2012</v>
      </c>
      <c r="O14" s="5" t="s">
        <v>2013</v>
      </c>
    </row>
    <row r="15" spans="1:15" ht="220.8">
      <c r="A15" s="5" t="s">
        <v>2048</v>
      </c>
      <c r="B15" s="5" t="s">
        <v>256</v>
      </c>
      <c r="C15" s="5" t="s">
        <v>154</v>
      </c>
      <c r="D15" s="5" t="s">
        <v>2006</v>
      </c>
      <c r="E15" s="5" t="s">
        <v>293</v>
      </c>
      <c r="F15" s="5">
        <v>5</v>
      </c>
      <c r="G15" s="5" t="s">
        <v>2049</v>
      </c>
      <c r="H15" s="5" t="s">
        <v>2022</v>
      </c>
      <c r="I15" s="5" t="s">
        <v>2023</v>
      </c>
      <c r="J15" s="5" t="s">
        <v>2018</v>
      </c>
      <c r="K15" s="5" t="s">
        <v>2011</v>
      </c>
      <c r="L15" s="5" t="s">
        <v>108</v>
      </c>
      <c r="M15" s="5">
        <v>4</v>
      </c>
      <c r="N15" s="5" t="s">
        <v>2012</v>
      </c>
      <c r="O15" s="5" t="s">
        <v>2013</v>
      </c>
    </row>
    <row r="16" spans="1:15" ht="96.6">
      <c r="A16" s="5" t="s">
        <v>2050</v>
      </c>
      <c r="B16" s="5" t="s">
        <v>256</v>
      </c>
      <c r="C16" s="5" t="s">
        <v>153</v>
      </c>
      <c r="D16" s="5" t="s">
        <v>2006</v>
      </c>
      <c r="E16" s="5" t="s">
        <v>281</v>
      </c>
      <c r="F16" s="5">
        <v>8</v>
      </c>
      <c r="G16" s="5" t="s">
        <v>2007</v>
      </c>
      <c r="H16" s="5" t="s">
        <v>2016</v>
      </c>
      <c r="I16" s="5" t="s">
        <v>2051</v>
      </c>
      <c r="J16" s="5" t="s">
        <v>2018</v>
      </c>
      <c r="K16" s="5" t="s">
        <v>2011</v>
      </c>
      <c r="L16" s="5" t="s">
        <v>108</v>
      </c>
      <c r="M16" s="5">
        <v>4</v>
      </c>
      <c r="N16" s="5" t="s">
        <v>2012</v>
      </c>
      <c r="O16" s="5" t="s">
        <v>2013</v>
      </c>
    </row>
    <row r="17" spans="1:15" ht="55.2">
      <c r="A17" s="5" t="s">
        <v>2052</v>
      </c>
      <c r="B17" s="5" t="s">
        <v>256</v>
      </c>
      <c r="C17" s="5" t="s">
        <v>152</v>
      </c>
      <c r="D17" s="5" t="s">
        <v>2025</v>
      </c>
      <c r="E17" s="5" t="s">
        <v>280</v>
      </c>
      <c r="F17" s="5">
        <v>1</v>
      </c>
      <c r="G17" s="5" t="s">
        <v>2007</v>
      </c>
      <c r="H17" s="5" t="s">
        <v>2008</v>
      </c>
      <c r="I17" s="5" t="s">
        <v>2027</v>
      </c>
      <c r="J17" s="5" t="s">
        <v>2010</v>
      </c>
      <c r="K17" s="5" t="s">
        <v>2011</v>
      </c>
      <c r="L17" s="5" t="s">
        <v>108</v>
      </c>
      <c r="M17" s="5">
        <v>4</v>
      </c>
      <c r="N17" s="5" t="s">
        <v>2012</v>
      </c>
      <c r="O17" s="5" t="s">
        <v>2013</v>
      </c>
    </row>
    <row r="18" spans="1:15" ht="55.2">
      <c r="A18" s="5" t="s">
        <v>2053</v>
      </c>
      <c r="B18" s="5" t="s">
        <v>300</v>
      </c>
      <c r="C18" s="5" t="s">
        <v>152</v>
      </c>
      <c r="D18" s="5" t="s">
        <v>2006</v>
      </c>
      <c r="E18" s="5" t="s">
        <v>331</v>
      </c>
      <c r="F18" s="5">
        <v>2</v>
      </c>
      <c r="G18" s="5" t="s">
        <v>2039</v>
      </c>
      <c r="H18" s="5" t="s">
        <v>2008</v>
      </c>
      <c r="I18" s="5" t="s">
        <v>2009</v>
      </c>
      <c r="J18" s="5" t="s">
        <v>2010</v>
      </c>
      <c r="K18" s="5" t="s">
        <v>2011</v>
      </c>
      <c r="L18" s="5" t="s">
        <v>108</v>
      </c>
      <c r="M18" s="5">
        <v>4</v>
      </c>
      <c r="N18" s="5" t="s">
        <v>2012</v>
      </c>
      <c r="O18" s="5" t="s">
        <v>2013</v>
      </c>
    </row>
    <row r="19" spans="1:15" ht="82.8">
      <c r="A19" s="5" t="s">
        <v>2054</v>
      </c>
      <c r="B19" s="5" t="s">
        <v>300</v>
      </c>
      <c r="C19" s="5" t="s">
        <v>154</v>
      </c>
      <c r="D19" s="5" t="s">
        <v>2006</v>
      </c>
      <c r="E19" s="5" t="s">
        <v>334</v>
      </c>
      <c r="F19" s="5">
        <v>1</v>
      </c>
      <c r="G19" s="5" t="s">
        <v>2007</v>
      </c>
      <c r="H19" s="5" t="s">
        <v>2022</v>
      </c>
      <c r="I19" s="5" t="s">
        <v>2023</v>
      </c>
      <c r="J19" s="5" t="s">
        <v>2018</v>
      </c>
      <c r="K19" s="5" t="s">
        <v>2011</v>
      </c>
      <c r="L19" s="5" t="s">
        <v>108</v>
      </c>
      <c r="M19" s="5">
        <v>4</v>
      </c>
      <c r="N19" s="5" t="s">
        <v>2012</v>
      </c>
      <c r="O19" s="5" t="s">
        <v>2013</v>
      </c>
    </row>
    <row r="20" spans="1:15" ht="41.4">
      <c r="A20" s="5" t="s">
        <v>2055</v>
      </c>
      <c r="B20" s="5" t="s">
        <v>300</v>
      </c>
      <c r="C20" s="5" t="s">
        <v>340</v>
      </c>
      <c r="D20" s="5" t="s">
        <v>2006</v>
      </c>
      <c r="E20" s="5" t="s">
        <v>2056</v>
      </c>
      <c r="F20" s="5">
        <v>14</v>
      </c>
      <c r="G20" s="5" t="s">
        <v>2021</v>
      </c>
      <c r="H20" s="5" t="s">
        <v>2057</v>
      </c>
      <c r="I20" s="5" t="s">
        <v>2058</v>
      </c>
      <c r="J20" s="5" t="s">
        <v>2018</v>
      </c>
      <c r="K20" s="5" t="s">
        <v>2011</v>
      </c>
      <c r="L20" s="5" t="s">
        <v>108</v>
      </c>
      <c r="M20" s="5">
        <v>4</v>
      </c>
      <c r="N20" s="5" t="s">
        <v>2012</v>
      </c>
      <c r="O20" s="5" t="s">
        <v>2013</v>
      </c>
    </row>
    <row r="21" spans="1:15" ht="69">
      <c r="A21" s="5" t="s">
        <v>2059</v>
      </c>
      <c r="B21" s="5" t="s">
        <v>300</v>
      </c>
      <c r="C21" s="5" t="s">
        <v>152</v>
      </c>
      <c r="D21" s="5" t="s">
        <v>2025</v>
      </c>
      <c r="E21" s="5" t="s">
        <v>321</v>
      </c>
      <c r="F21" s="5">
        <v>1</v>
      </c>
      <c r="G21" s="5" t="s">
        <v>2007</v>
      </c>
      <c r="H21" s="5" t="s">
        <v>2008</v>
      </c>
      <c r="I21" s="5" t="s">
        <v>2027</v>
      </c>
      <c r="J21" s="5" t="s">
        <v>2010</v>
      </c>
      <c r="K21" s="5" t="s">
        <v>2011</v>
      </c>
      <c r="L21" s="5" t="s">
        <v>108</v>
      </c>
      <c r="M21" s="5">
        <v>4</v>
      </c>
      <c r="N21" s="5" t="s">
        <v>2012</v>
      </c>
      <c r="O21" s="5" t="s">
        <v>2013</v>
      </c>
    </row>
    <row r="22" spans="1:15" ht="41.4">
      <c r="A22" s="5" t="s">
        <v>2060</v>
      </c>
      <c r="B22" s="5" t="s">
        <v>342</v>
      </c>
      <c r="C22" s="5" t="s">
        <v>152</v>
      </c>
      <c r="D22" s="5" t="s">
        <v>2006</v>
      </c>
      <c r="E22" s="5" t="s">
        <v>381</v>
      </c>
      <c r="F22" s="5">
        <v>1</v>
      </c>
      <c r="G22" s="5" t="s">
        <v>2007</v>
      </c>
      <c r="H22" s="5" t="s">
        <v>2008</v>
      </c>
      <c r="I22" s="5" t="s">
        <v>2033</v>
      </c>
      <c r="J22" s="5" t="s">
        <v>2010</v>
      </c>
      <c r="K22" s="5" t="s">
        <v>2011</v>
      </c>
      <c r="L22" s="5" t="s">
        <v>108</v>
      </c>
      <c r="M22" s="5">
        <v>4</v>
      </c>
      <c r="N22" s="5" t="s">
        <v>2012</v>
      </c>
      <c r="O22" s="5" t="s">
        <v>2013</v>
      </c>
    </row>
    <row r="23" spans="1:15" ht="41.4">
      <c r="A23" s="5" t="s">
        <v>2061</v>
      </c>
      <c r="B23" s="5" t="s">
        <v>342</v>
      </c>
      <c r="C23" s="5" t="s">
        <v>155</v>
      </c>
      <c r="D23" s="5" t="s">
        <v>2006</v>
      </c>
      <c r="E23" s="5" t="s">
        <v>382</v>
      </c>
      <c r="F23" s="5">
        <v>1</v>
      </c>
      <c r="G23" s="5" t="s">
        <v>2007</v>
      </c>
      <c r="H23" s="5" t="s">
        <v>2062</v>
      </c>
      <c r="I23" s="5" t="s">
        <v>2063</v>
      </c>
      <c r="J23" s="5" t="s">
        <v>2018</v>
      </c>
      <c r="K23" s="5" t="s">
        <v>2011</v>
      </c>
      <c r="L23" s="5" t="s">
        <v>108</v>
      </c>
      <c r="M23" s="5">
        <v>4</v>
      </c>
      <c r="N23" s="5" t="s">
        <v>2012</v>
      </c>
      <c r="O23" s="5" t="s">
        <v>2013</v>
      </c>
    </row>
    <row r="24" spans="1:15" ht="69">
      <c r="A24" s="5" t="s">
        <v>2064</v>
      </c>
      <c r="B24" s="5" t="s">
        <v>342</v>
      </c>
      <c r="C24" s="5" t="s">
        <v>386</v>
      </c>
      <c r="D24" s="5" t="s">
        <v>2006</v>
      </c>
      <c r="E24" s="5" t="s">
        <v>373</v>
      </c>
      <c r="F24" s="5">
        <v>3</v>
      </c>
      <c r="G24" s="5" t="s">
        <v>2049</v>
      </c>
      <c r="H24" s="5" t="s">
        <v>2065</v>
      </c>
      <c r="I24" s="5" t="s">
        <v>2066</v>
      </c>
      <c r="J24" s="5" t="s">
        <v>2018</v>
      </c>
      <c r="K24" s="5" t="s">
        <v>2011</v>
      </c>
      <c r="L24" s="5" t="s">
        <v>108</v>
      </c>
      <c r="M24" s="5">
        <v>4</v>
      </c>
      <c r="N24" s="5" t="s">
        <v>2012</v>
      </c>
      <c r="O24" s="5" t="s">
        <v>2013</v>
      </c>
    </row>
    <row r="25" spans="1:15" ht="41.4">
      <c r="A25" s="5" t="s">
        <v>2067</v>
      </c>
      <c r="B25" s="5" t="s">
        <v>342</v>
      </c>
      <c r="C25" s="5" t="s">
        <v>152</v>
      </c>
      <c r="D25" s="5" t="s">
        <v>2025</v>
      </c>
      <c r="E25" s="5" t="s">
        <v>367</v>
      </c>
      <c r="F25" s="5">
        <v>1</v>
      </c>
      <c r="G25" s="5" t="s">
        <v>2007</v>
      </c>
      <c r="H25" s="5" t="s">
        <v>2008</v>
      </c>
      <c r="I25" s="5" t="s">
        <v>2027</v>
      </c>
      <c r="J25" s="5" t="s">
        <v>2010</v>
      </c>
      <c r="K25" s="5" t="s">
        <v>2011</v>
      </c>
      <c r="L25" s="5" t="s">
        <v>108</v>
      </c>
      <c r="M25" s="5">
        <v>4</v>
      </c>
      <c r="N25" s="5" t="s">
        <v>2012</v>
      </c>
      <c r="O25" s="5" t="s">
        <v>2013</v>
      </c>
    </row>
    <row r="26" spans="1:15" ht="69">
      <c r="A26" s="5" t="s">
        <v>2068</v>
      </c>
      <c r="B26" s="5" t="s">
        <v>388</v>
      </c>
      <c r="C26" s="5" t="s">
        <v>152</v>
      </c>
      <c r="D26" s="5" t="s">
        <v>2006</v>
      </c>
      <c r="E26" s="5" t="s">
        <v>413</v>
      </c>
      <c r="F26" s="5">
        <v>1</v>
      </c>
      <c r="G26" s="5" t="s">
        <v>2007</v>
      </c>
      <c r="H26" s="5" t="s">
        <v>2008</v>
      </c>
      <c r="I26" s="5" t="s">
        <v>2033</v>
      </c>
      <c r="J26" s="5" t="s">
        <v>2010</v>
      </c>
      <c r="K26" s="5" t="s">
        <v>2011</v>
      </c>
      <c r="L26" s="5" t="s">
        <v>108</v>
      </c>
      <c r="M26" s="5">
        <v>4</v>
      </c>
      <c r="N26" s="5" t="s">
        <v>2012</v>
      </c>
      <c r="O26" s="5" t="s">
        <v>2013</v>
      </c>
    </row>
    <row r="27" spans="1:15" ht="41.4">
      <c r="A27" s="5" t="s">
        <v>2069</v>
      </c>
      <c r="B27" s="5" t="s">
        <v>388</v>
      </c>
      <c r="C27" s="5" t="s">
        <v>154</v>
      </c>
      <c r="D27" s="5" t="s">
        <v>2006</v>
      </c>
      <c r="E27" s="5" t="s">
        <v>414</v>
      </c>
      <c r="F27" s="5">
        <v>4</v>
      </c>
      <c r="G27" s="5" t="s">
        <v>2021</v>
      </c>
      <c r="H27" s="5" t="s">
        <v>2022</v>
      </c>
      <c r="I27" s="5" t="s">
        <v>2023</v>
      </c>
      <c r="J27" s="5" t="s">
        <v>2018</v>
      </c>
      <c r="K27" s="5" t="s">
        <v>2011</v>
      </c>
      <c r="L27" s="5" t="s">
        <v>108</v>
      </c>
      <c r="M27" s="5">
        <v>4</v>
      </c>
      <c r="N27" s="5" t="s">
        <v>2012</v>
      </c>
      <c r="O27" s="5" t="s">
        <v>2013</v>
      </c>
    </row>
    <row r="28" spans="1:15" ht="55.2">
      <c r="A28" s="5" t="s">
        <v>2070</v>
      </c>
      <c r="B28" s="5" t="s">
        <v>388</v>
      </c>
      <c r="C28" s="5" t="s">
        <v>155</v>
      </c>
      <c r="D28" s="5" t="s">
        <v>2006</v>
      </c>
      <c r="E28" s="5" t="s">
        <v>410</v>
      </c>
      <c r="F28" s="5">
        <v>2</v>
      </c>
      <c r="G28" s="5" t="s">
        <v>2021</v>
      </c>
      <c r="H28" s="5" t="s">
        <v>2062</v>
      </c>
      <c r="I28" s="5" t="s">
        <v>2071</v>
      </c>
      <c r="J28" s="5" t="s">
        <v>2018</v>
      </c>
      <c r="K28" s="5" t="s">
        <v>2011</v>
      </c>
      <c r="L28" s="5" t="s">
        <v>108</v>
      </c>
      <c r="M28" s="5">
        <v>4</v>
      </c>
      <c r="N28" s="5" t="s">
        <v>2012</v>
      </c>
      <c r="O28" s="5" t="s">
        <v>2013</v>
      </c>
    </row>
    <row r="29" spans="1:15" ht="41.4">
      <c r="A29" s="5" t="s">
        <v>2072</v>
      </c>
      <c r="B29" s="5" t="s">
        <v>388</v>
      </c>
      <c r="C29" s="5" t="s">
        <v>152</v>
      </c>
      <c r="D29" s="5" t="s">
        <v>2025</v>
      </c>
      <c r="E29" s="5" t="s">
        <v>2073</v>
      </c>
      <c r="F29" s="5">
        <v>2</v>
      </c>
      <c r="G29" s="5" t="s">
        <v>2021</v>
      </c>
      <c r="H29" s="5" t="s">
        <v>2008</v>
      </c>
      <c r="I29" s="5" t="s">
        <v>2027</v>
      </c>
      <c r="J29" s="5" t="s">
        <v>2010</v>
      </c>
      <c r="K29" s="5" t="s">
        <v>2011</v>
      </c>
      <c r="L29" s="5" t="s">
        <v>108</v>
      </c>
      <c r="M29" s="5">
        <v>4</v>
      </c>
      <c r="N29" s="5" t="s">
        <v>2012</v>
      </c>
      <c r="O29" s="5" t="s">
        <v>2013</v>
      </c>
    </row>
    <row r="30" spans="1:15" ht="193.2">
      <c r="A30" s="5" t="s">
        <v>2074</v>
      </c>
      <c r="B30" s="5" t="s">
        <v>420</v>
      </c>
      <c r="C30" s="5" t="s">
        <v>154</v>
      </c>
      <c r="D30" s="5" t="s">
        <v>2006</v>
      </c>
      <c r="E30" s="5" t="s">
        <v>450</v>
      </c>
      <c r="F30" s="5">
        <v>7</v>
      </c>
      <c r="G30" s="5" t="s">
        <v>2049</v>
      </c>
      <c r="H30" s="5" t="s">
        <v>2022</v>
      </c>
      <c r="I30" s="5" t="s">
        <v>2023</v>
      </c>
      <c r="J30" s="5" t="s">
        <v>2018</v>
      </c>
      <c r="K30" s="5" t="s">
        <v>2011</v>
      </c>
      <c r="L30" s="5" t="s">
        <v>108</v>
      </c>
      <c r="M30" s="5">
        <v>4</v>
      </c>
      <c r="N30" s="5" t="s">
        <v>2012</v>
      </c>
      <c r="O30" s="5" t="s">
        <v>2013</v>
      </c>
    </row>
    <row r="31" spans="1:15" ht="69">
      <c r="A31" s="5" t="s">
        <v>2075</v>
      </c>
      <c r="B31" s="5" t="s">
        <v>420</v>
      </c>
      <c r="C31" s="5" t="s">
        <v>153</v>
      </c>
      <c r="D31" s="5" t="s">
        <v>2006</v>
      </c>
      <c r="E31" s="5" t="s">
        <v>446</v>
      </c>
      <c r="F31" s="5">
        <v>4</v>
      </c>
      <c r="G31" s="5" t="s">
        <v>2015</v>
      </c>
      <c r="H31" s="5" t="s">
        <v>2016</v>
      </c>
      <c r="I31" s="5" t="s">
        <v>2017</v>
      </c>
      <c r="J31" s="5" t="s">
        <v>2018</v>
      </c>
      <c r="K31" s="5" t="s">
        <v>2011</v>
      </c>
      <c r="L31" s="5" t="s">
        <v>108</v>
      </c>
      <c r="M31" s="5">
        <v>4</v>
      </c>
      <c r="N31" s="5" t="s">
        <v>2012</v>
      </c>
      <c r="O31" s="5" t="s">
        <v>2013</v>
      </c>
    </row>
    <row r="32" spans="1:15" ht="55.2">
      <c r="A32" s="5" t="s">
        <v>2076</v>
      </c>
      <c r="B32" s="5" t="s">
        <v>420</v>
      </c>
      <c r="C32" s="5" t="s">
        <v>152</v>
      </c>
      <c r="D32" s="5" t="s">
        <v>2006</v>
      </c>
      <c r="E32" s="5" t="s">
        <v>2077</v>
      </c>
      <c r="F32" s="5">
        <v>2</v>
      </c>
      <c r="G32" s="5" t="s">
        <v>2049</v>
      </c>
      <c r="H32" s="5" t="s">
        <v>2008</v>
      </c>
      <c r="I32" s="5" t="s">
        <v>2078</v>
      </c>
      <c r="J32" s="5" t="s">
        <v>2010</v>
      </c>
      <c r="K32" s="5" t="s">
        <v>2011</v>
      </c>
      <c r="L32" s="5" t="s">
        <v>108</v>
      </c>
      <c r="M32" s="5">
        <v>4</v>
      </c>
      <c r="N32" s="5" t="s">
        <v>2012</v>
      </c>
      <c r="O32" s="5" t="s">
        <v>2013</v>
      </c>
    </row>
    <row r="33" spans="1:15" ht="303.60000000000002">
      <c r="A33" s="5" t="s">
        <v>2079</v>
      </c>
      <c r="B33" s="5" t="s">
        <v>420</v>
      </c>
      <c r="C33" s="5" t="s">
        <v>154</v>
      </c>
      <c r="D33" s="5" t="s">
        <v>2025</v>
      </c>
      <c r="E33" s="5" t="s">
        <v>2080</v>
      </c>
      <c r="F33" s="5">
        <v>1</v>
      </c>
      <c r="G33" s="5" t="s">
        <v>2007</v>
      </c>
      <c r="H33" s="5" t="s">
        <v>2022</v>
      </c>
      <c r="I33" s="5" t="s">
        <v>2027</v>
      </c>
      <c r="J33" s="5" t="s">
        <v>2018</v>
      </c>
      <c r="K33" s="5" t="s">
        <v>2011</v>
      </c>
      <c r="L33" s="5" t="s">
        <v>108</v>
      </c>
      <c r="M33" s="5">
        <v>4</v>
      </c>
      <c r="N33" s="5" t="s">
        <v>2012</v>
      </c>
      <c r="O33" s="5" t="s">
        <v>2013</v>
      </c>
    </row>
    <row r="34" spans="1:15" ht="55.2">
      <c r="A34" s="5" t="s">
        <v>2081</v>
      </c>
      <c r="B34" s="5" t="s">
        <v>457</v>
      </c>
      <c r="C34" s="5" t="s">
        <v>152</v>
      </c>
      <c r="D34" s="5" t="s">
        <v>2006</v>
      </c>
      <c r="E34" s="5" t="s">
        <v>489</v>
      </c>
      <c r="F34" s="5">
        <v>1</v>
      </c>
      <c r="G34" s="5" t="s">
        <v>2007</v>
      </c>
      <c r="H34" s="5" t="s">
        <v>2008</v>
      </c>
      <c r="I34" s="5" t="s">
        <v>2033</v>
      </c>
      <c r="J34" s="5" t="s">
        <v>2010</v>
      </c>
      <c r="K34" s="5" t="s">
        <v>2011</v>
      </c>
      <c r="L34" s="5" t="s">
        <v>108</v>
      </c>
      <c r="M34" s="5">
        <v>4</v>
      </c>
      <c r="N34" s="5" t="s">
        <v>2012</v>
      </c>
      <c r="O34" s="5" t="s">
        <v>2013</v>
      </c>
    </row>
    <row r="35" spans="1:15" ht="41.4">
      <c r="A35" s="5" t="s">
        <v>2082</v>
      </c>
      <c r="B35" s="5" t="s">
        <v>457</v>
      </c>
      <c r="C35" s="5" t="s">
        <v>154</v>
      </c>
      <c r="D35" s="5" t="s">
        <v>2006</v>
      </c>
      <c r="E35" s="5" t="s">
        <v>490</v>
      </c>
      <c r="F35" s="5">
        <v>1</v>
      </c>
      <c r="G35" s="5" t="s">
        <v>2007</v>
      </c>
      <c r="H35" s="5" t="s">
        <v>2022</v>
      </c>
      <c r="I35" s="5" t="s">
        <v>2023</v>
      </c>
      <c r="J35" s="5" t="s">
        <v>2018</v>
      </c>
      <c r="K35" s="5" t="s">
        <v>2011</v>
      </c>
      <c r="L35" s="5" t="s">
        <v>108</v>
      </c>
      <c r="M35" s="5">
        <v>4</v>
      </c>
      <c r="N35" s="5" t="s">
        <v>2012</v>
      </c>
      <c r="O35" s="5" t="s">
        <v>2013</v>
      </c>
    </row>
    <row r="36" spans="1:15" ht="55.2">
      <c r="A36" s="5" t="s">
        <v>2083</v>
      </c>
      <c r="B36" s="5" t="s">
        <v>457</v>
      </c>
      <c r="C36" s="5" t="s">
        <v>493</v>
      </c>
      <c r="D36" s="5" t="s">
        <v>2006</v>
      </c>
      <c r="E36" s="5" t="s">
        <v>2084</v>
      </c>
      <c r="F36" s="5">
        <v>1</v>
      </c>
      <c r="G36" s="5" t="s">
        <v>2007</v>
      </c>
      <c r="H36" s="5" t="s">
        <v>2085</v>
      </c>
      <c r="I36" s="5" t="s">
        <v>2086</v>
      </c>
      <c r="J36" s="5" t="s">
        <v>2018</v>
      </c>
      <c r="K36" s="5" t="s">
        <v>2011</v>
      </c>
      <c r="L36" s="5" t="s">
        <v>108</v>
      </c>
      <c r="M36" s="5">
        <v>4</v>
      </c>
      <c r="N36" s="5" t="s">
        <v>2012</v>
      </c>
      <c r="O36" s="5" t="s">
        <v>2013</v>
      </c>
    </row>
    <row r="37" spans="1:15" ht="138">
      <c r="A37" s="5" t="s">
        <v>2087</v>
      </c>
      <c r="B37" s="5" t="s">
        <v>457</v>
      </c>
      <c r="C37" s="5" t="s">
        <v>152</v>
      </c>
      <c r="D37" s="5" t="s">
        <v>2025</v>
      </c>
      <c r="E37" s="5" t="s">
        <v>475</v>
      </c>
      <c r="F37" s="5">
        <v>1</v>
      </c>
      <c r="G37" s="5" t="s">
        <v>2007</v>
      </c>
      <c r="H37" s="5" t="s">
        <v>2008</v>
      </c>
      <c r="I37" s="5" t="s">
        <v>2027</v>
      </c>
      <c r="J37" s="5" t="s">
        <v>2010</v>
      </c>
      <c r="K37" s="5" t="s">
        <v>2011</v>
      </c>
      <c r="L37" s="5" t="s">
        <v>108</v>
      </c>
      <c r="M37" s="5">
        <v>4</v>
      </c>
      <c r="N37" s="5" t="s">
        <v>2012</v>
      </c>
      <c r="O37" s="5" t="s">
        <v>2013</v>
      </c>
    </row>
    <row r="38" spans="1:15" ht="41.4">
      <c r="A38" s="5" t="s">
        <v>2088</v>
      </c>
      <c r="B38" s="5" t="s">
        <v>496</v>
      </c>
      <c r="C38" s="5" t="s">
        <v>194</v>
      </c>
      <c r="D38" s="5" t="s">
        <v>2006</v>
      </c>
      <c r="E38" s="5" t="s">
        <v>526</v>
      </c>
      <c r="F38" s="5">
        <v>1</v>
      </c>
      <c r="G38" s="5" t="s">
        <v>2007</v>
      </c>
      <c r="H38" s="5" t="s">
        <v>2029</v>
      </c>
      <c r="I38" s="5" t="s">
        <v>2030</v>
      </c>
      <c r="J38" s="5" t="s">
        <v>2031</v>
      </c>
      <c r="K38" s="5" t="s">
        <v>2011</v>
      </c>
      <c r="L38" s="5" t="s">
        <v>108</v>
      </c>
      <c r="M38" s="5">
        <v>4</v>
      </c>
      <c r="N38" s="5" t="s">
        <v>2012</v>
      </c>
      <c r="O38" s="5" t="s">
        <v>2013</v>
      </c>
    </row>
    <row r="39" spans="1:15" ht="41.4">
      <c r="A39" s="5" t="s">
        <v>2089</v>
      </c>
      <c r="B39" s="5" t="s">
        <v>496</v>
      </c>
      <c r="C39" s="5" t="s">
        <v>152</v>
      </c>
      <c r="D39" s="5" t="s">
        <v>2006</v>
      </c>
      <c r="E39" s="5" t="s">
        <v>526</v>
      </c>
      <c r="F39" s="5">
        <v>1</v>
      </c>
      <c r="G39" s="5" t="s">
        <v>2007</v>
      </c>
      <c r="H39" s="5" t="s">
        <v>2008</v>
      </c>
      <c r="I39" s="5" t="s">
        <v>2033</v>
      </c>
      <c r="J39" s="5" t="s">
        <v>2010</v>
      </c>
      <c r="K39" s="5" t="s">
        <v>2011</v>
      </c>
      <c r="L39" s="5" t="s">
        <v>108</v>
      </c>
      <c r="M39" s="5">
        <v>4</v>
      </c>
      <c r="N39" s="5" t="s">
        <v>2012</v>
      </c>
      <c r="O39" s="5" t="s">
        <v>2013</v>
      </c>
    </row>
    <row r="40" spans="1:15" ht="110.4">
      <c r="A40" s="5" t="s">
        <v>2090</v>
      </c>
      <c r="B40" s="5" t="s">
        <v>496</v>
      </c>
      <c r="C40" s="5" t="s">
        <v>530</v>
      </c>
      <c r="D40" s="5" t="s">
        <v>2006</v>
      </c>
      <c r="E40" s="5" t="s">
        <v>510</v>
      </c>
      <c r="F40" s="5">
        <v>1</v>
      </c>
      <c r="G40" s="5" t="s">
        <v>2007</v>
      </c>
      <c r="H40" s="5" t="s">
        <v>2091</v>
      </c>
      <c r="I40" s="5" t="s">
        <v>2092</v>
      </c>
      <c r="J40" s="5" t="s">
        <v>2093</v>
      </c>
      <c r="K40" s="5" t="s">
        <v>2011</v>
      </c>
      <c r="L40" s="5" t="s">
        <v>108</v>
      </c>
      <c r="M40" s="5">
        <v>4</v>
      </c>
      <c r="N40" s="5" t="s">
        <v>2012</v>
      </c>
      <c r="O40" s="5" t="s">
        <v>2013</v>
      </c>
    </row>
    <row r="41" spans="1:15" ht="41.4">
      <c r="A41" s="5" t="s">
        <v>2094</v>
      </c>
      <c r="B41" s="5" t="s">
        <v>496</v>
      </c>
      <c r="C41" s="5" t="s">
        <v>194</v>
      </c>
      <c r="D41" s="5" t="s">
        <v>2025</v>
      </c>
      <c r="E41" s="5" t="s">
        <v>516</v>
      </c>
      <c r="F41" s="5">
        <v>1</v>
      </c>
      <c r="G41" s="5" t="s">
        <v>2007</v>
      </c>
      <c r="H41" s="5" t="s">
        <v>2029</v>
      </c>
      <c r="I41" s="5" t="s">
        <v>2027</v>
      </c>
      <c r="J41" s="5" t="s">
        <v>2031</v>
      </c>
      <c r="K41" s="5" t="s">
        <v>2011</v>
      </c>
      <c r="L41" s="5" t="s">
        <v>108</v>
      </c>
      <c r="M41" s="5">
        <v>4</v>
      </c>
      <c r="N41" s="5" t="s">
        <v>2012</v>
      </c>
      <c r="O41" s="5" t="s">
        <v>2013</v>
      </c>
    </row>
    <row r="42" spans="1:15" ht="69">
      <c r="A42" s="5" t="s">
        <v>2095</v>
      </c>
      <c r="B42" s="5" t="s">
        <v>532</v>
      </c>
      <c r="C42" s="5" t="s">
        <v>152</v>
      </c>
      <c r="D42" s="5" t="s">
        <v>2006</v>
      </c>
      <c r="E42" s="5" t="s">
        <v>565</v>
      </c>
      <c r="F42" s="5">
        <v>1</v>
      </c>
      <c r="G42" s="5" t="s">
        <v>2007</v>
      </c>
      <c r="H42" s="5" t="s">
        <v>2008</v>
      </c>
      <c r="I42" s="5" t="s">
        <v>2009</v>
      </c>
      <c r="J42" s="5" t="s">
        <v>2010</v>
      </c>
      <c r="K42" s="5" t="s">
        <v>2011</v>
      </c>
      <c r="L42" s="5" t="s">
        <v>108</v>
      </c>
      <c r="M42" s="5">
        <v>4</v>
      </c>
      <c r="N42" s="5" t="s">
        <v>2012</v>
      </c>
      <c r="O42" s="5" t="s">
        <v>2013</v>
      </c>
    </row>
    <row r="43" spans="1:15" ht="69">
      <c r="A43" s="5" t="s">
        <v>2096</v>
      </c>
      <c r="B43" s="5" t="s">
        <v>532</v>
      </c>
      <c r="C43" s="5" t="s">
        <v>569</v>
      </c>
      <c r="D43" s="5" t="s">
        <v>2006</v>
      </c>
      <c r="E43" s="5" t="s">
        <v>564</v>
      </c>
      <c r="F43" s="5">
        <v>1</v>
      </c>
      <c r="G43" s="5" t="s">
        <v>2007</v>
      </c>
      <c r="H43" s="5" t="s">
        <v>2097</v>
      </c>
      <c r="I43" s="5" t="s">
        <v>2098</v>
      </c>
      <c r="J43" s="5" t="s">
        <v>2018</v>
      </c>
      <c r="K43" s="5" t="s">
        <v>2011</v>
      </c>
      <c r="L43" s="5" t="s">
        <v>108</v>
      </c>
      <c r="M43" s="5">
        <v>4</v>
      </c>
      <c r="N43" s="5" t="s">
        <v>2012</v>
      </c>
      <c r="O43" s="5" t="s">
        <v>2013</v>
      </c>
    </row>
    <row r="44" spans="1:15" ht="82.8">
      <c r="A44" s="5" t="s">
        <v>2099</v>
      </c>
      <c r="B44" s="5" t="s">
        <v>532</v>
      </c>
      <c r="C44" s="5" t="s">
        <v>252</v>
      </c>
      <c r="D44" s="5" t="s">
        <v>2006</v>
      </c>
      <c r="E44" s="5" t="s">
        <v>2100</v>
      </c>
      <c r="F44" s="5">
        <v>7</v>
      </c>
      <c r="G44" s="5" t="s">
        <v>2015</v>
      </c>
      <c r="H44" s="5" t="s">
        <v>2101</v>
      </c>
      <c r="I44" s="5" t="s">
        <v>2102</v>
      </c>
      <c r="J44" s="5" t="s">
        <v>2018</v>
      </c>
      <c r="K44" s="5" t="s">
        <v>2011</v>
      </c>
      <c r="L44" s="5" t="s">
        <v>108</v>
      </c>
      <c r="M44" s="5">
        <v>4</v>
      </c>
      <c r="N44" s="5" t="s">
        <v>2012</v>
      </c>
      <c r="O44" s="5" t="s">
        <v>2013</v>
      </c>
    </row>
    <row r="45" spans="1:15" ht="69">
      <c r="A45" s="5" t="s">
        <v>2103</v>
      </c>
      <c r="B45" s="5" t="s">
        <v>532</v>
      </c>
      <c r="C45" s="5" t="s">
        <v>152</v>
      </c>
      <c r="D45" s="5" t="s">
        <v>2025</v>
      </c>
      <c r="E45" s="5" t="s">
        <v>565</v>
      </c>
      <c r="F45" s="5">
        <v>1</v>
      </c>
      <c r="G45" s="5" t="s">
        <v>2007</v>
      </c>
      <c r="H45" s="5" t="s">
        <v>2008</v>
      </c>
      <c r="I45" s="5" t="s">
        <v>2027</v>
      </c>
      <c r="J45" s="5" t="s">
        <v>2010</v>
      </c>
      <c r="K45" s="5" t="s">
        <v>2011</v>
      </c>
      <c r="L45" s="5" t="s">
        <v>108</v>
      </c>
      <c r="M45" s="5">
        <v>4</v>
      </c>
      <c r="N45" s="5" t="s">
        <v>2012</v>
      </c>
      <c r="O45" s="5" t="s">
        <v>2013</v>
      </c>
    </row>
    <row r="46" spans="1:15" ht="69">
      <c r="A46" s="5" t="s">
        <v>2104</v>
      </c>
      <c r="B46" s="5" t="s">
        <v>572</v>
      </c>
      <c r="C46" s="5" t="s">
        <v>252</v>
      </c>
      <c r="D46" s="5" t="s">
        <v>2006</v>
      </c>
      <c r="E46" s="5" t="s">
        <v>605</v>
      </c>
      <c r="F46" s="5">
        <v>5</v>
      </c>
      <c r="G46" s="5" t="s">
        <v>2021</v>
      </c>
      <c r="H46" s="5" t="s">
        <v>2101</v>
      </c>
      <c r="I46" s="5" t="s">
        <v>2102</v>
      </c>
      <c r="J46" s="5" t="s">
        <v>2018</v>
      </c>
      <c r="K46" s="5" t="s">
        <v>2011</v>
      </c>
      <c r="L46" s="5" t="s">
        <v>108</v>
      </c>
      <c r="M46" s="5">
        <v>4</v>
      </c>
      <c r="N46" s="5" t="s">
        <v>2012</v>
      </c>
      <c r="O46" s="5" t="s">
        <v>2013</v>
      </c>
    </row>
    <row r="47" spans="1:15" ht="110.4">
      <c r="A47" s="5" t="s">
        <v>2105</v>
      </c>
      <c r="B47" s="5" t="s">
        <v>572</v>
      </c>
      <c r="C47" s="5" t="s">
        <v>154</v>
      </c>
      <c r="D47" s="5" t="s">
        <v>2006</v>
      </c>
      <c r="E47" s="5" t="s">
        <v>592</v>
      </c>
      <c r="F47" s="5">
        <v>1</v>
      </c>
      <c r="G47" s="5" t="s">
        <v>2007</v>
      </c>
      <c r="H47" s="5" t="s">
        <v>2022</v>
      </c>
      <c r="I47" s="5" t="s">
        <v>2106</v>
      </c>
      <c r="J47" s="5" t="s">
        <v>2018</v>
      </c>
      <c r="K47" s="5" t="s">
        <v>2011</v>
      </c>
      <c r="L47" s="5" t="s">
        <v>108</v>
      </c>
      <c r="M47" s="5">
        <v>4</v>
      </c>
      <c r="N47" s="5" t="s">
        <v>2012</v>
      </c>
      <c r="O47" s="5" t="s">
        <v>2013</v>
      </c>
    </row>
    <row r="48" spans="1:15" ht="207">
      <c r="A48" s="5" t="s">
        <v>2107</v>
      </c>
      <c r="B48" s="5" t="s">
        <v>572</v>
      </c>
      <c r="C48" s="5" t="s">
        <v>386</v>
      </c>
      <c r="D48" s="5" t="s">
        <v>2006</v>
      </c>
      <c r="E48" s="5" t="s">
        <v>2108</v>
      </c>
      <c r="F48" s="5">
        <v>1</v>
      </c>
      <c r="G48" s="5" t="s">
        <v>2007</v>
      </c>
      <c r="H48" s="5" t="s">
        <v>2065</v>
      </c>
      <c r="I48" s="5" t="s">
        <v>2109</v>
      </c>
      <c r="J48" s="5" t="s">
        <v>2018</v>
      </c>
      <c r="K48" s="5" t="s">
        <v>2011</v>
      </c>
      <c r="L48" s="5" t="s">
        <v>108</v>
      </c>
      <c r="M48" s="5">
        <v>4</v>
      </c>
      <c r="N48" s="5" t="s">
        <v>2012</v>
      </c>
      <c r="O48" s="5" t="s">
        <v>2013</v>
      </c>
    </row>
    <row r="49" spans="1:15" ht="69">
      <c r="A49" s="5" t="s">
        <v>2110</v>
      </c>
      <c r="B49" s="5" t="s">
        <v>572</v>
      </c>
      <c r="C49" s="5" t="s">
        <v>252</v>
      </c>
      <c r="D49" s="5" t="s">
        <v>2025</v>
      </c>
      <c r="E49" s="5" t="s">
        <v>2111</v>
      </c>
      <c r="F49" s="5">
        <v>1</v>
      </c>
      <c r="G49" s="5" t="s">
        <v>2007</v>
      </c>
      <c r="H49" s="5" t="s">
        <v>2101</v>
      </c>
      <c r="I49" s="5" t="s">
        <v>2027</v>
      </c>
      <c r="J49" s="5" t="s">
        <v>2018</v>
      </c>
      <c r="K49" s="5" t="s">
        <v>2011</v>
      </c>
      <c r="L49" s="5" t="s">
        <v>108</v>
      </c>
      <c r="M49" s="5">
        <v>4</v>
      </c>
      <c r="N49" s="5" t="s">
        <v>2012</v>
      </c>
      <c r="O49" s="5" t="s">
        <v>2013</v>
      </c>
    </row>
    <row r="50" spans="1:15" ht="96.6">
      <c r="A50" s="5" t="s">
        <v>2112</v>
      </c>
      <c r="B50" s="5" t="s">
        <v>611</v>
      </c>
      <c r="C50" s="5" t="s">
        <v>252</v>
      </c>
      <c r="D50" s="5" t="s">
        <v>2006</v>
      </c>
      <c r="E50" s="5" t="s">
        <v>626</v>
      </c>
      <c r="F50" s="5">
        <v>1</v>
      </c>
      <c r="G50" s="5" t="s">
        <v>2007</v>
      </c>
      <c r="H50" s="5" t="s">
        <v>2101</v>
      </c>
      <c r="I50" s="5" t="s">
        <v>2102</v>
      </c>
      <c r="J50" s="5" t="s">
        <v>2018</v>
      </c>
      <c r="K50" s="5" t="s">
        <v>2011</v>
      </c>
      <c r="L50" s="5" t="s">
        <v>108</v>
      </c>
      <c r="M50" s="5">
        <v>4</v>
      </c>
      <c r="N50" s="5" t="s">
        <v>2012</v>
      </c>
      <c r="O50" s="5" t="s">
        <v>2013</v>
      </c>
    </row>
    <row r="51" spans="1:15" ht="55.2">
      <c r="A51" s="5" t="s">
        <v>2113</v>
      </c>
      <c r="B51" s="5" t="s">
        <v>611</v>
      </c>
      <c r="C51" s="5" t="s">
        <v>154</v>
      </c>
      <c r="D51" s="5" t="s">
        <v>2006</v>
      </c>
      <c r="E51" s="5" t="s">
        <v>643</v>
      </c>
      <c r="F51" s="5">
        <v>9</v>
      </c>
      <c r="G51" s="5" t="s">
        <v>2021</v>
      </c>
      <c r="H51" s="5" t="s">
        <v>2022</v>
      </c>
      <c r="I51" s="5" t="s">
        <v>2023</v>
      </c>
      <c r="J51" s="5" t="s">
        <v>2018</v>
      </c>
      <c r="K51" s="5" t="s">
        <v>2011</v>
      </c>
      <c r="L51" s="5" t="s">
        <v>108</v>
      </c>
      <c r="M51" s="5">
        <v>4</v>
      </c>
      <c r="N51" s="5" t="s">
        <v>2012</v>
      </c>
      <c r="O51" s="5" t="s">
        <v>2013</v>
      </c>
    </row>
    <row r="52" spans="1:15" ht="41.4">
      <c r="A52" s="5" t="s">
        <v>2114</v>
      </c>
      <c r="B52" s="5" t="s">
        <v>611</v>
      </c>
      <c r="C52" s="5" t="s">
        <v>386</v>
      </c>
      <c r="D52" s="5" t="s">
        <v>2006</v>
      </c>
      <c r="E52" s="5" t="s">
        <v>637</v>
      </c>
      <c r="F52" s="5">
        <v>5</v>
      </c>
      <c r="G52" s="5" t="s">
        <v>2015</v>
      </c>
      <c r="H52" s="5" t="s">
        <v>2065</v>
      </c>
      <c r="I52" s="5" t="s">
        <v>2109</v>
      </c>
      <c r="J52" s="5" t="s">
        <v>2018</v>
      </c>
      <c r="K52" s="5" t="s">
        <v>2011</v>
      </c>
      <c r="L52" s="5" t="s">
        <v>108</v>
      </c>
      <c r="M52" s="5">
        <v>4</v>
      </c>
      <c r="N52" s="5" t="s">
        <v>2012</v>
      </c>
      <c r="O52" s="5" t="s">
        <v>2013</v>
      </c>
    </row>
    <row r="53" spans="1:15" ht="69">
      <c r="A53" s="5" t="s">
        <v>2115</v>
      </c>
      <c r="B53" s="5" t="s">
        <v>611</v>
      </c>
      <c r="C53" s="5" t="s">
        <v>252</v>
      </c>
      <c r="D53" s="5" t="s">
        <v>2025</v>
      </c>
      <c r="E53" s="5" t="s">
        <v>2116</v>
      </c>
      <c r="F53" s="5">
        <v>1</v>
      </c>
      <c r="G53" s="5" t="s">
        <v>2007</v>
      </c>
      <c r="H53" s="5" t="s">
        <v>2101</v>
      </c>
      <c r="I53" s="5" t="s">
        <v>2027</v>
      </c>
      <c r="J53" s="5" t="s">
        <v>2018</v>
      </c>
      <c r="K53" s="5" t="s">
        <v>2011</v>
      </c>
      <c r="L53" s="5" t="s">
        <v>108</v>
      </c>
      <c r="M53" s="5">
        <v>4</v>
      </c>
      <c r="N53" s="5" t="s">
        <v>2012</v>
      </c>
      <c r="O53" s="5" t="s">
        <v>2013</v>
      </c>
    </row>
    <row r="54" spans="1:15" ht="41.4">
      <c r="A54" s="5" t="s">
        <v>2117</v>
      </c>
      <c r="B54" s="5" t="s">
        <v>649</v>
      </c>
      <c r="C54" s="5" t="s">
        <v>154</v>
      </c>
      <c r="D54" s="5" t="s">
        <v>2006</v>
      </c>
      <c r="E54" s="5" t="s">
        <v>678</v>
      </c>
      <c r="F54" s="5">
        <v>3</v>
      </c>
      <c r="G54" s="5" t="s">
        <v>2021</v>
      </c>
      <c r="H54" s="5" t="s">
        <v>2022</v>
      </c>
      <c r="I54" s="5" t="s">
        <v>2023</v>
      </c>
      <c r="J54" s="5" t="s">
        <v>2018</v>
      </c>
      <c r="K54" s="5" t="s">
        <v>2011</v>
      </c>
      <c r="L54" s="5" t="s">
        <v>108</v>
      </c>
      <c r="M54" s="5">
        <v>4</v>
      </c>
      <c r="N54" s="5" t="s">
        <v>2012</v>
      </c>
      <c r="O54" s="5" t="s">
        <v>2013</v>
      </c>
    </row>
    <row r="55" spans="1:15" ht="82.8">
      <c r="A55" s="5" t="s">
        <v>2118</v>
      </c>
      <c r="B55" s="5" t="s">
        <v>649</v>
      </c>
      <c r="C55" s="5" t="s">
        <v>252</v>
      </c>
      <c r="D55" s="5" t="s">
        <v>2006</v>
      </c>
      <c r="E55" s="5" t="s">
        <v>660</v>
      </c>
      <c r="F55" s="5">
        <v>2</v>
      </c>
      <c r="G55" s="5" t="s">
        <v>2007</v>
      </c>
      <c r="H55" s="5" t="s">
        <v>2101</v>
      </c>
      <c r="I55" s="5" t="s">
        <v>2102</v>
      </c>
      <c r="J55" s="5" t="s">
        <v>2018</v>
      </c>
      <c r="K55" s="5" t="s">
        <v>2011</v>
      </c>
      <c r="L55" s="5" t="s">
        <v>108</v>
      </c>
      <c r="M55" s="5">
        <v>4</v>
      </c>
      <c r="N55" s="5" t="s">
        <v>2012</v>
      </c>
      <c r="O55" s="5" t="s">
        <v>2013</v>
      </c>
    </row>
    <row r="56" spans="1:15" ht="55.2">
      <c r="A56" s="5" t="s">
        <v>2119</v>
      </c>
      <c r="B56" s="5" t="s">
        <v>649</v>
      </c>
      <c r="C56" s="5" t="s">
        <v>195</v>
      </c>
      <c r="D56" s="5" t="s">
        <v>2006</v>
      </c>
      <c r="E56" s="5" t="s">
        <v>2120</v>
      </c>
      <c r="F56" s="5">
        <v>8</v>
      </c>
      <c r="G56" s="5" t="s">
        <v>2007</v>
      </c>
      <c r="H56" s="5" t="s">
        <v>2035</v>
      </c>
      <c r="I56" s="5" t="s">
        <v>2121</v>
      </c>
      <c r="J56" s="5" t="s">
        <v>2018</v>
      </c>
      <c r="K56" s="5" t="s">
        <v>2011</v>
      </c>
      <c r="L56" s="5" t="s">
        <v>108</v>
      </c>
      <c r="M56" s="5">
        <v>4</v>
      </c>
      <c r="N56" s="5" t="s">
        <v>2012</v>
      </c>
      <c r="O56" s="5" t="s">
        <v>2013</v>
      </c>
    </row>
    <row r="57" spans="1:15" ht="41.4">
      <c r="A57" s="5" t="s">
        <v>2122</v>
      </c>
      <c r="B57" s="5" t="s">
        <v>649</v>
      </c>
      <c r="C57" s="5" t="s">
        <v>154</v>
      </c>
      <c r="D57" s="5" t="s">
        <v>2025</v>
      </c>
      <c r="E57" s="5" t="s">
        <v>2123</v>
      </c>
      <c r="F57" s="5">
        <v>1</v>
      </c>
      <c r="G57" s="5" t="s">
        <v>2007</v>
      </c>
      <c r="H57" s="5" t="s">
        <v>2022</v>
      </c>
      <c r="I57" s="5" t="s">
        <v>2027</v>
      </c>
      <c r="J57" s="5" t="s">
        <v>2018</v>
      </c>
      <c r="K57" s="5" t="s">
        <v>2011</v>
      </c>
      <c r="L57" s="5" t="s">
        <v>108</v>
      </c>
      <c r="M57" s="5">
        <v>4</v>
      </c>
      <c r="N57" s="5" t="s">
        <v>2012</v>
      </c>
      <c r="O57" s="5" t="s">
        <v>2013</v>
      </c>
    </row>
    <row r="58" spans="1:15" ht="41.4">
      <c r="A58" s="5" t="s">
        <v>2124</v>
      </c>
      <c r="B58" s="5" t="s">
        <v>684</v>
      </c>
      <c r="C58" s="5" t="s">
        <v>252</v>
      </c>
      <c r="D58" s="5" t="s">
        <v>2006</v>
      </c>
      <c r="E58" s="5" t="s">
        <v>708</v>
      </c>
      <c r="F58" s="5">
        <v>2</v>
      </c>
      <c r="G58" s="5" t="s">
        <v>2015</v>
      </c>
      <c r="H58" s="5" t="s">
        <v>2101</v>
      </c>
      <c r="I58" s="5" t="s">
        <v>2125</v>
      </c>
      <c r="J58" s="5" t="s">
        <v>2018</v>
      </c>
      <c r="K58" s="5" t="s">
        <v>2011</v>
      </c>
      <c r="L58" s="5" t="s">
        <v>108</v>
      </c>
      <c r="M58" s="5">
        <v>4</v>
      </c>
      <c r="N58" s="5" t="s">
        <v>2012</v>
      </c>
      <c r="O58" s="5" t="s">
        <v>2013</v>
      </c>
    </row>
    <row r="59" spans="1:15" ht="55.2">
      <c r="A59" s="5" t="s">
        <v>2126</v>
      </c>
      <c r="B59" s="5" t="s">
        <v>684</v>
      </c>
      <c r="C59" s="5" t="s">
        <v>386</v>
      </c>
      <c r="D59" s="5" t="s">
        <v>2006</v>
      </c>
      <c r="E59" s="5" t="s">
        <v>703</v>
      </c>
      <c r="F59" s="5">
        <v>1</v>
      </c>
      <c r="G59" s="5" t="s">
        <v>2007</v>
      </c>
      <c r="H59" s="5" t="s">
        <v>2065</v>
      </c>
      <c r="I59" s="5" t="s">
        <v>2109</v>
      </c>
      <c r="J59" s="5" t="s">
        <v>2018</v>
      </c>
      <c r="K59" s="5" t="s">
        <v>2011</v>
      </c>
      <c r="L59" s="5" t="s">
        <v>108</v>
      </c>
      <c r="M59" s="5">
        <v>4</v>
      </c>
      <c r="N59" s="5" t="s">
        <v>2012</v>
      </c>
      <c r="O59" s="5" t="s">
        <v>2013</v>
      </c>
    </row>
    <row r="60" spans="1:15" ht="41.4">
      <c r="A60" s="5" t="s">
        <v>2127</v>
      </c>
      <c r="B60" s="5" t="s">
        <v>684</v>
      </c>
      <c r="C60" s="5" t="s">
        <v>710</v>
      </c>
      <c r="D60" s="5" t="s">
        <v>2006</v>
      </c>
      <c r="E60" s="5" t="s">
        <v>705</v>
      </c>
      <c r="F60" s="5">
        <v>1</v>
      </c>
      <c r="G60" s="5" t="s">
        <v>2007</v>
      </c>
      <c r="H60" s="5" t="s">
        <v>2128</v>
      </c>
      <c r="I60" s="5" t="s">
        <v>2129</v>
      </c>
      <c r="J60" s="5" t="s">
        <v>2018</v>
      </c>
      <c r="K60" s="5" t="s">
        <v>2011</v>
      </c>
      <c r="L60" s="5" t="s">
        <v>108</v>
      </c>
      <c r="M60" s="5">
        <v>4</v>
      </c>
      <c r="N60" s="5" t="s">
        <v>2012</v>
      </c>
      <c r="O60" s="5" t="s">
        <v>2013</v>
      </c>
    </row>
    <row r="61" spans="1:15" ht="69">
      <c r="A61" s="5" t="s">
        <v>2130</v>
      </c>
      <c r="B61" s="5" t="s">
        <v>684</v>
      </c>
      <c r="C61" s="5" t="s">
        <v>252</v>
      </c>
      <c r="D61" s="5" t="s">
        <v>2025</v>
      </c>
      <c r="E61" s="5" t="s">
        <v>2131</v>
      </c>
      <c r="F61" s="5">
        <v>1</v>
      </c>
      <c r="G61" s="5" t="s">
        <v>2007</v>
      </c>
      <c r="H61" s="5" t="s">
        <v>2101</v>
      </c>
      <c r="I61" s="5" t="s">
        <v>2027</v>
      </c>
      <c r="J61" s="5" t="s">
        <v>2018</v>
      </c>
      <c r="K61" s="5" t="s">
        <v>2011</v>
      </c>
      <c r="L61" s="5" t="s">
        <v>108</v>
      </c>
      <c r="M61" s="5">
        <v>4</v>
      </c>
      <c r="N61" s="5" t="s">
        <v>2012</v>
      </c>
      <c r="O61" s="5" t="s">
        <v>2013</v>
      </c>
    </row>
    <row r="62" spans="1:15" ht="96.6">
      <c r="A62" s="5" t="s">
        <v>2132</v>
      </c>
      <c r="B62" s="5" t="s">
        <v>714</v>
      </c>
      <c r="C62" s="5" t="s">
        <v>252</v>
      </c>
      <c r="D62" s="5" t="s">
        <v>2006</v>
      </c>
      <c r="E62" s="5" t="s">
        <v>746</v>
      </c>
      <c r="F62" s="5">
        <v>10</v>
      </c>
      <c r="G62" s="5" t="s">
        <v>2021</v>
      </c>
      <c r="H62" s="5" t="s">
        <v>2101</v>
      </c>
      <c r="I62" s="5" t="s">
        <v>2102</v>
      </c>
      <c r="J62" s="5" t="s">
        <v>2018</v>
      </c>
      <c r="K62" s="5" t="s">
        <v>2011</v>
      </c>
      <c r="L62" s="5" t="s">
        <v>108</v>
      </c>
      <c r="M62" s="5">
        <v>4</v>
      </c>
      <c r="N62" s="5" t="s">
        <v>2012</v>
      </c>
      <c r="O62" s="5" t="s">
        <v>2013</v>
      </c>
    </row>
    <row r="63" spans="1:15" ht="55.2">
      <c r="A63" s="5" t="s">
        <v>2133</v>
      </c>
      <c r="B63" s="5" t="s">
        <v>714</v>
      </c>
      <c r="C63" s="5" t="s">
        <v>710</v>
      </c>
      <c r="D63" s="5" t="s">
        <v>2006</v>
      </c>
      <c r="E63" s="5" t="s">
        <v>741</v>
      </c>
      <c r="F63" s="5">
        <v>2</v>
      </c>
      <c r="G63" s="5" t="s">
        <v>2015</v>
      </c>
      <c r="H63" s="5" t="s">
        <v>2128</v>
      </c>
      <c r="I63" s="5" t="s">
        <v>2134</v>
      </c>
      <c r="J63" s="5" t="s">
        <v>2018</v>
      </c>
      <c r="K63" s="5" t="s">
        <v>2011</v>
      </c>
      <c r="L63" s="5" t="s">
        <v>108</v>
      </c>
      <c r="M63" s="5">
        <v>4</v>
      </c>
      <c r="N63" s="5" t="s">
        <v>2012</v>
      </c>
      <c r="O63" s="5" t="s">
        <v>2013</v>
      </c>
    </row>
    <row r="64" spans="1:15" ht="41.4">
      <c r="A64" s="5" t="s">
        <v>2135</v>
      </c>
      <c r="B64" s="5" t="s">
        <v>714</v>
      </c>
      <c r="C64" s="5" t="s">
        <v>155</v>
      </c>
      <c r="D64" s="5" t="s">
        <v>2006</v>
      </c>
      <c r="E64" s="5" t="s">
        <v>742</v>
      </c>
      <c r="F64" s="5">
        <v>2</v>
      </c>
      <c r="G64" s="5" t="s">
        <v>2015</v>
      </c>
      <c r="H64" s="5" t="s">
        <v>2062</v>
      </c>
      <c r="I64" s="5" t="s">
        <v>2136</v>
      </c>
      <c r="J64" s="5" t="s">
        <v>2018</v>
      </c>
      <c r="K64" s="5" t="s">
        <v>2011</v>
      </c>
      <c r="L64" s="5" t="s">
        <v>108</v>
      </c>
      <c r="M64" s="5">
        <v>4</v>
      </c>
      <c r="N64" s="5" t="s">
        <v>2012</v>
      </c>
      <c r="O64" s="5" t="s">
        <v>2013</v>
      </c>
    </row>
    <row r="65" spans="1:15" ht="138">
      <c r="A65" s="5" t="s">
        <v>2137</v>
      </c>
      <c r="B65" s="5" t="s">
        <v>714</v>
      </c>
      <c r="C65" s="5" t="s">
        <v>252</v>
      </c>
      <c r="D65" s="5" t="s">
        <v>2025</v>
      </c>
      <c r="E65" s="5" t="s">
        <v>2138</v>
      </c>
      <c r="F65" s="5">
        <v>1</v>
      </c>
      <c r="G65" s="5" t="s">
        <v>2007</v>
      </c>
      <c r="H65" s="5" t="s">
        <v>2101</v>
      </c>
      <c r="I65" s="5" t="s">
        <v>2027</v>
      </c>
      <c r="J65" s="5" t="s">
        <v>2018</v>
      </c>
      <c r="K65" s="5" t="s">
        <v>2011</v>
      </c>
      <c r="L65" s="5" t="s">
        <v>108</v>
      </c>
      <c r="M65" s="5">
        <v>4</v>
      </c>
      <c r="N65" s="5" t="s">
        <v>2012</v>
      </c>
      <c r="O65" s="5" t="s">
        <v>2013</v>
      </c>
    </row>
    <row r="66" spans="1:15" ht="110.4">
      <c r="A66" s="5" t="s">
        <v>2139</v>
      </c>
      <c r="B66" s="5" t="s">
        <v>753</v>
      </c>
      <c r="C66" s="5" t="s">
        <v>493</v>
      </c>
      <c r="D66" s="5" t="s">
        <v>2006</v>
      </c>
      <c r="E66" s="5" t="s">
        <v>780</v>
      </c>
      <c r="F66" s="5">
        <v>4</v>
      </c>
      <c r="G66" s="5" t="s">
        <v>2015</v>
      </c>
      <c r="H66" s="5" t="s">
        <v>2085</v>
      </c>
      <c r="I66" s="5" t="s">
        <v>2086</v>
      </c>
      <c r="J66" s="5" t="s">
        <v>2018</v>
      </c>
      <c r="K66" s="5" t="s">
        <v>2011</v>
      </c>
      <c r="L66" s="5" t="s">
        <v>108</v>
      </c>
      <c r="M66" s="5">
        <v>4</v>
      </c>
      <c r="N66" s="5" t="s">
        <v>2012</v>
      </c>
      <c r="O66" s="5" t="s">
        <v>2013</v>
      </c>
    </row>
    <row r="67" spans="1:15" ht="41.4">
      <c r="A67" s="5" t="s">
        <v>2140</v>
      </c>
      <c r="B67" s="5" t="s">
        <v>753</v>
      </c>
      <c r="C67" s="5" t="s">
        <v>152</v>
      </c>
      <c r="D67" s="5" t="s">
        <v>2006</v>
      </c>
      <c r="E67" s="5" t="s">
        <v>781</v>
      </c>
      <c r="F67" s="5">
        <v>5</v>
      </c>
      <c r="G67" s="5" t="s">
        <v>2049</v>
      </c>
      <c r="H67" s="5" t="s">
        <v>2008</v>
      </c>
      <c r="I67" s="5" t="s">
        <v>2033</v>
      </c>
      <c r="J67" s="5" t="s">
        <v>2010</v>
      </c>
      <c r="K67" s="5" t="s">
        <v>2011</v>
      </c>
      <c r="L67" s="5" t="s">
        <v>108</v>
      </c>
      <c r="M67" s="5">
        <v>4</v>
      </c>
      <c r="N67" s="5" t="s">
        <v>2012</v>
      </c>
      <c r="O67" s="5" t="s">
        <v>2013</v>
      </c>
    </row>
    <row r="68" spans="1:15" ht="69">
      <c r="A68" s="5" t="s">
        <v>2141</v>
      </c>
      <c r="B68" s="5" t="s">
        <v>753</v>
      </c>
      <c r="C68" s="5" t="s">
        <v>251</v>
      </c>
      <c r="D68" s="5" t="s">
        <v>2006</v>
      </c>
      <c r="E68" s="5" t="s">
        <v>2142</v>
      </c>
      <c r="F68" s="5">
        <v>4</v>
      </c>
      <c r="G68" s="5" t="s">
        <v>2015</v>
      </c>
      <c r="H68" s="5" t="s">
        <v>2044</v>
      </c>
      <c r="I68" s="5" t="s">
        <v>2045</v>
      </c>
      <c r="J68" s="5" t="s">
        <v>2018</v>
      </c>
      <c r="K68" s="5" t="s">
        <v>2011</v>
      </c>
      <c r="L68" s="5" t="s">
        <v>108</v>
      </c>
      <c r="M68" s="5">
        <v>4</v>
      </c>
      <c r="N68" s="5" t="s">
        <v>2012</v>
      </c>
      <c r="O68" s="5" t="s">
        <v>2013</v>
      </c>
    </row>
    <row r="69" spans="1:15" ht="151.80000000000001">
      <c r="A69" s="5" t="s">
        <v>2143</v>
      </c>
      <c r="B69" s="5" t="s">
        <v>753</v>
      </c>
      <c r="C69" s="5" t="s">
        <v>493</v>
      </c>
      <c r="D69" s="5" t="s">
        <v>2025</v>
      </c>
      <c r="E69" s="5" t="s">
        <v>770</v>
      </c>
      <c r="F69" s="5">
        <v>1</v>
      </c>
      <c r="G69" s="5" t="s">
        <v>2007</v>
      </c>
      <c r="H69" s="5" t="s">
        <v>2085</v>
      </c>
      <c r="I69" s="5" t="s">
        <v>2027</v>
      </c>
      <c r="J69" s="5" t="s">
        <v>2018</v>
      </c>
      <c r="K69" s="5" t="s">
        <v>2011</v>
      </c>
      <c r="L69" s="5" t="s">
        <v>108</v>
      </c>
      <c r="M69" s="5">
        <v>4</v>
      </c>
      <c r="N69" s="5" t="s">
        <v>2012</v>
      </c>
      <c r="O69" s="5" t="s">
        <v>2013</v>
      </c>
    </row>
    <row r="70" spans="1:15" ht="96.6">
      <c r="A70" s="5" t="s">
        <v>2144</v>
      </c>
      <c r="B70" s="5" t="s">
        <v>785</v>
      </c>
      <c r="C70" s="5" t="s">
        <v>252</v>
      </c>
      <c r="D70" s="5" t="s">
        <v>2006</v>
      </c>
      <c r="E70" s="5" t="s">
        <v>823</v>
      </c>
      <c r="F70" s="5">
        <v>6</v>
      </c>
      <c r="G70" s="5" t="s">
        <v>2049</v>
      </c>
      <c r="H70" s="5" t="s">
        <v>2101</v>
      </c>
      <c r="I70" s="5" t="s">
        <v>2102</v>
      </c>
      <c r="J70" s="5" t="s">
        <v>2018</v>
      </c>
      <c r="K70" s="5" t="s">
        <v>2011</v>
      </c>
      <c r="L70" s="5" t="s">
        <v>108</v>
      </c>
      <c r="M70" s="5">
        <v>4</v>
      </c>
      <c r="N70" s="5" t="s">
        <v>2012</v>
      </c>
      <c r="O70" s="5" t="s">
        <v>2013</v>
      </c>
    </row>
    <row r="71" spans="1:15" ht="82.8">
      <c r="A71" s="5" t="s">
        <v>2145</v>
      </c>
      <c r="B71" s="5" t="s">
        <v>785</v>
      </c>
      <c r="C71" s="5" t="s">
        <v>154</v>
      </c>
      <c r="D71" s="5" t="s">
        <v>2006</v>
      </c>
      <c r="E71" s="5" t="s">
        <v>817</v>
      </c>
      <c r="F71" s="5">
        <v>10</v>
      </c>
      <c r="G71" s="5" t="s">
        <v>2146</v>
      </c>
      <c r="H71" s="5" t="s">
        <v>2022</v>
      </c>
      <c r="I71" s="5" t="s">
        <v>2023</v>
      </c>
      <c r="J71" s="5" t="s">
        <v>2018</v>
      </c>
      <c r="K71" s="5" t="s">
        <v>2011</v>
      </c>
      <c r="L71" s="5" t="s">
        <v>108</v>
      </c>
      <c r="M71" s="5">
        <v>4</v>
      </c>
      <c r="N71" s="5" t="s">
        <v>2012</v>
      </c>
      <c r="O71" s="5" t="s">
        <v>2013</v>
      </c>
    </row>
    <row r="72" spans="1:15" ht="69">
      <c r="A72" s="5" t="s">
        <v>2147</v>
      </c>
      <c r="B72" s="5" t="s">
        <v>785</v>
      </c>
      <c r="C72" s="5" t="s">
        <v>340</v>
      </c>
      <c r="D72" s="5" t="s">
        <v>2006</v>
      </c>
      <c r="E72" s="5" t="s">
        <v>2148</v>
      </c>
      <c r="F72" s="5">
        <v>2</v>
      </c>
      <c r="G72" s="5" t="s">
        <v>2015</v>
      </c>
      <c r="H72" s="5" t="s">
        <v>2057</v>
      </c>
      <c r="I72" s="5" t="s">
        <v>2058</v>
      </c>
      <c r="J72" s="5" t="s">
        <v>2018</v>
      </c>
      <c r="K72" s="5" t="s">
        <v>2011</v>
      </c>
      <c r="L72" s="5" t="s">
        <v>108</v>
      </c>
      <c r="M72" s="5">
        <v>4</v>
      </c>
      <c r="N72" s="5" t="s">
        <v>2012</v>
      </c>
      <c r="O72" s="5" t="s">
        <v>2013</v>
      </c>
    </row>
    <row r="73" spans="1:15" ht="69">
      <c r="A73" s="5" t="s">
        <v>2149</v>
      </c>
      <c r="B73" s="5" t="s">
        <v>785</v>
      </c>
      <c r="C73" s="5" t="s">
        <v>252</v>
      </c>
      <c r="D73" s="5" t="s">
        <v>2025</v>
      </c>
      <c r="E73" s="5" t="s">
        <v>2150</v>
      </c>
      <c r="F73" s="5">
        <v>1</v>
      </c>
      <c r="G73" s="5" t="s">
        <v>2007</v>
      </c>
      <c r="H73" s="5" t="s">
        <v>2101</v>
      </c>
      <c r="I73" s="5" t="s">
        <v>2027</v>
      </c>
      <c r="J73" s="5" t="s">
        <v>2018</v>
      </c>
      <c r="K73" s="5" t="s">
        <v>2011</v>
      </c>
      <c r="L73" s="5" t="s">
        <v>108</v>
      </c>
      <c r="M73" s="5">
        <v>4</v>
      </c>
      <c r="N73" s="5" t="s">
        <v>2012</v>
      </c>
      <c r="O73" s="5" t="s">
        <v>2013</v>
      </c>
    </row>
    <row r="74" spans="1:15" ht="41.4">
      <c r="A74" s="5" t="s">
        <v>2151</v>
      </c>
      <c r="B74" s="5" t="s">
        <v>830</v>
      </c>
      <c r="C74" s="5" t="s">
        <v>154</v>
      </c>
      <c r="D74" s="5" t="s">
        <v>2006</v>
      </c>
      <c r="E74" s="5" t="s">
        <v>840</v>
      </c>
      <c r="F74" s="5">
        <v>1</v>
      </c>
      <c r="G74" s="5" t="s">
        <v>2007</v>
      </c>
      <c r="H74" s="5" t="s">
        <v>2022</v>
      </c>
      <c r="I74" s="5" t="s">
        <v>2023</v>
      </c>
      <c r="J74" s="5" t="s">
        <v>2018</v>
      </c>
      <c r="K74" s="5" t="s">
        <v>2011</v>
      </c>
      <c r="L74" s="5" t="s">
        <v>108</v>
      </c>
      <c r="M74" s="5">
        <v>4</v>
      </c>
      <c r="N74" s="5" t="s">
        <v>2012</v>
      </c>
      <c r="O74" s="5" t="s">
        <v>2013</v>
      </c>
    </row>
    <row r="75" spans="1:15" ht="69">
      <c r="A75" s="5" t="s">
        <v>2152</v>
      </c>
      <c r="B75" s="5" t="s">
        <v>830</v>
      </c>
      <c r="C75" s="5" t="s">
        <v>155</v>
      </c>
      <c r="D75" s="5" t="s">
        <v>2006</v>
      </c>
      <c r="E75" s="5" t="s">
        <v>859</v>
      </c>
      <c r="F75" s="5">
        <v>1</v>
      </c>
      <c r="G75" s="5" t="s">
        <v>2007</v>
      </c>
      <c r="H75" s="5" t="s">
        <v>2062</v>
      </c>
      <c r="I75" s="5" t="s">
        <v>2136</v>
      </c>
      <c r="J75" s="5" t="s">
        <v>2018</v>
      </c>
      <c r="K75" s="5" t="s">
        <v>2011</v>
      </c>
      <c r="L75" s="5" t="s">
        <v>108</v>
      </c>
      <c r="M75" s="5">
        <v>4</v>
      </c>
      <c r="N75" s="5" t="s">
        <v>2012</v>
      </c>
      <c r="O75" s="5" t="s">
        <v>2013</v>
      </c>
    </row>
    <row r="76" spans="1:15" ht="69">
      <c r="A76" s="5" t="s">
        <v>2153</v>
      </c>
      <c r="B76" s="5" t="s">
        <v>830</v>
      </c>
      <c r="C76" s="5" t="s">
        <v>251</v>
      </c>
      <c r="D76" s="5" t="s">
        <v>2006</v>
      </c>
      <c r="E76" s="5" t="s">
        <v>849</v>
      </c>
      <c r="F76" s="5">
        <v>1</v>
      </c>
      <c r="G76" s="5" t="s">
        <v>2007</v>
      </c>
      <c r="H76" s="5" t="s">
        <v>2044</v>
      </c>
      <c r="I76" s="5" t="s">
        <v>2045</v>
      </c>
      <c r="J76" s="5" t="s">
        <v>2018</v>
      </c>
      <c r="K76" s="5" t="s">
        <v>2011</v>
      </c>
      <c r="L76" s="5" t="s">
        <v>108</v>
      </c>
      <c r="M76" s="5">
        <v>4</v>
      </c>
      <c r="N76" s="5" t="s">
        <v>2012</v>
      </c>
      <c r="O76" s="5" t="s">
        <v>2013</v>
      </c>
    </row>
    <row r="77" spans="1:15" ht="69">
      <c r="A77" s="5" t="s">
        <v>2154</v>
      </c>
      <c r="B77" s="5" t="s">
        <v>830</v>
      </c>
      <c r="C77" s="5" t="s">
        <v>154</v>
      </c>
      <c r="D77" s="5" t="s">
        <v>2025</v>
      </c>
      <c r="E77" s="5" t="s">
        <v>849</v>
      </c>
      <c r="F77" s="5">
        <v>1</v>
      </c>
      <c r="G77" s="5" t="s">
        <v>2007</v>
      </c>
      <c r="H77" s="5" t="s">
        <v>2022</v>
      </c>
      <c r="I77" s="5" t="s">
        <v>2027</v>
      </c>
      <c r="J77" s="5" t="s">
        <v>2018</v>
      </c>
      <c r="K77" s="5" t="s">
        <v>2011</v>
      </c>
      <c r="L77" s="5" t="s">
        <v>108</v>
      </c>
      <c r="M77" s="5">
        <v>4</v>
      </c>
      <c r="N77" s="5" t="s">
        <v>2012</v>
      </c>
      <c r="O77" s="5" t="s">
        <v>2013</v>
      </c>
    </row>
    <row r="78" spans="1:15" ht="69">
      <c r="A78" s="5" t="s">
        <v>2155</v>
      </c>
      <c r="B78" s="5" t="s">
        <v>867</v>
      </c>
      <c r="C78" s="5" t="s">
        <v>194</v>
      </c>
      <c r="D78" s="5" t="s">
        <v>2006</v>
      </c>
      <c r="E78" s="5" t="s">
        <v>881</v>
      </c>
      <c r="F78" s="5">
        <v>1</v>
      </c>
      <c r="G78" s="5" t="s">
        <v>2007</v>
      </c>
      <c r="H78" s="5" t="s">
        <v>2029</v>
      </c>
      <c r="I78" s="5" t="s">
        <v>2030</v>
      </c>
      <c r="J78" s="5" t="s">
        <v>2031</v>
      </c>
      <c r="K78" s="5" t="s">
        <v>2011</v>
      </c>
      <c r="L78" s="5" t="s">
        <v>108</v>
      </c>
      <c r="M78" s="5">
        <v>4</v>
      </c>
      <c r="N78" s="5" t="s">
        <v>2012</v>
      </c>
      <c r="O78" s="5" t="s">
        <v>2013</v>
      </c>
    </row>
    <row r="79" spans="1:15" ht="69">
      <c r="A79" s="5" t="s">
        <v>2156</v>
      </c>
      <c r="B79" s="5" t="s">
        <v>867</v>
      </c>
      <c r="C79" s="5" t="s">
        <v>154</v>
      </c>
      <c r="D79" s="5" t="s">
        <v>2006</v>
      </c>
      <c r="E79" s="5" t="s">
        <v>890</v>
      </c>
      <c r="F79" s="5">
        <v>2</v>
      </c>
      <c r="G79" s="5" t="s">
        <v>2021</v>
      </c>
      <c r="H79" s="5" t="s">
        <v>2022</v>
      </c>
      <c r="I79" s="5" t="s">
        <v>2106</v>
      </c>
      <c r="J79" s="5" t="s">
        <v>2018</v>
      </c>
      <c r="K79" s="5" t="s">
        <v>2011</v>
      </c>
      <c r="L79" s="5" t="s">
        <v>108</v>
      </c>
      <c r="M79" s="5">
        <v>4</v>
      </c>
      <c r="N79" s="5" t="s">
        <v>2012</v>
      </c>
      <c r="O79" s="5" t="s">
        <v>2013</v>
      </c>
    </row>
    <row r="80" spans="1:15" ht="55.2">
      <c r="A80" s="5" t="s">
        <v>2157</v>
      </c>
      <c r="B80" s="5" t="s">
        <v>867</v>
      </c>
      <c r="C80" s="5" t="s">
        <v>152</v>
      </c>
      <c r="D80" s="5" t="s">
        <v>2006</v>
      </c>
      <c r="E80" s="5" t="s">
        <v>888</v>
      </c>
      <c r="F80" s="5">
        <v>1</v>
      </c>
      <c r="G80" s="5" t="s">
        <v>2007</v>
      </c>
      <c r="H80" s="5" t="s">
        <v>2008</v>
      </c>
      <c r="I80" s="5" t="s">
        <v>2009</v>
      </c>
      <c r="J80" s="5" t="s">
        <v>2010</v>
      </c>
      <c r="K80" s="5" t="s">
        <v>2011</v>
      </c>
      <c r="L80" s="5" t="s">
        <v>108</v>
      </c>
      <c r="M80" s="5">
        <v>4</v>
      </c>
      <c r="N80" s="5" t="s">
        <v>2012</v>
      </c>
      <c r="O80" s="5" t="s">
        <v>2013</v>
      </c>
    </row>
    <row r="81" spans="1:15" ht="193.2">
      <c r="A81" s="5" t="s">
        <v>2158</v>
      </c>
      <c r="B81" s="5" t="s">
        <v>867</v>
      </c>
      <c r="C81" s="5" t="s">
        <v>194</v>
      </c>
      <c r="D81" s="5" t="s">
        <v>2025</v>
      </c>
      <c r="E81" s="5" t="s">
        <v>2159</v>
      </c>
      <c r="F81" s="5">
        <v>5</v>
      </c>
      <c r="G81" s="5" t="s">
        <v>2146</v>
      </c>
      <c r="H81" s="5" t="s">
        <v>2029</v>
      </c>
      <c r="I81" s="5" t="s">
        <v>2027</v>
      </c>
      <c r="J81" s="5" t="s">
        <v>2031</v>
      </c>
      <c r="K81" s="5" t="s">
        <v>2011</v>
      </c>
      <c r="L81" s="5" t="s">
        <v>108</v>
      </c>
      <c r="M81" s="5">
        <v>4</v>
      </c>
      <c r="N81" s="5" t="s">
        <v>2012</v>
      </c>
      <c r="O81" s="5" t="s">
        <v>2013</v>
      </c>
    </row>
    <row r="82" spans="1:15" ht="289.8">
      <c r="A82" s="5" t="s">
        <v>2160</v>
      </c>
      <c r="B82" s="5" t="s">
        <v>895</v>
      </c>
      <c r="C82" s="5" t="s">
        <v>152</v>
      </c>
      <c r="D82" s="5" t="s">
        <v>2006</v>
      </c>
      <c r="E82" s="5" t="s">
        <v>928</v>
      </c>
      <c r="F82" s="5">
        <v>1</v>
      </c>
      <c r="G82" s="5" t="s">
        <v>2007</v>
      </c>
      <c r="H82" s="5" t="s">
        <v>2008</v>
      </c>
      <c r="I82" s="5" t="s">
        <v>2009</v>
      </c>
      <c r="J82" s="5" t="s">
        <v>2010</v>
      </c>
      <c r="K82" s="5" t="s">
        <v>2011</v>
      </c>
      <c r="L82" s="5" t="s">
        <v>108</v>
      </c>
      <c r="M82" s="5">
        <v>4</v>
      </c>
      <c r="N82" s="5" t="s">
        <v>2012</v>
      </c>
      <c r="O82" s="5" t="s">
        <v>2013</v>
      </c>
    </row>
    <row r="83" spans="1:15" ht="41.4">
      <c r="A83" s="5" t="s">
        <v>2161</v>
      </c>
      <c r="B83" s="5" t="s">
        <v>895</v>
      </c>
      <c r="C83" s="5" t="s">
        <v>154</v>
      </c>
      <c r="D83" s="5" t="s">
        <v>2006</v>
      </c>
      <c r="E83" s="5" t="s">
        <v>929</v>
      </c>
      <c r="F83" s="5">
        <v>2</v>
      </c>
      <c r="G83" s="5" t="s">
        <v>2007</v>
      </c>
      <c r="H83" s="5" t="s">
        <v>2022</v>
      </c>
      <c r="I83" s="5" t="s">
        <v>2023</v>
      </c>
      <c r="J83" s="5" t="s">
        <v>2018</v>
      </c>
      <c r="K83" s="5" t="s">
        <v>2011</v>
      </c>
      <c r="L83" s="5" t="s">
        <v>108</v>
      </c>
      <c r="M83" s="5">
        <v>4</v>
      </c>
      <c r="N83" s="5" t="s">
        <v>2012</v>
      </c>
      <c r="O83" s="5" t="s">
        <v>2013</v>
      </c>
    </row>
    <row r="84" spans="1:15" ht="55.2">
      <c r="A84" s="5" t="s">
        <v>2162</v>
      </c>
      <c r="B84" s="5" t="s">
        <v>895</v>
      </c>
      <c r="C84" s="5" t="s">
        <v>153</v>
      </c>
      <c r="D84" s="5" t="s">
        <v>2006</v>
      </c>
      <c r="E84" s="5" t="s">
        <v>924</v>
      </c>
      <c r="F84" s="5">
        <v>2</v>
      </c>
      <c r="G84" s="5" t="s">
        <v>2007</v>
      </c>
      <c r="H84" s="5" t="s">
        <v>2016</v>
      </c>
      <c r="I84" s="5" t="s">
        <v>2017</v>
      </c>
      <c r="J84" s="5" t="s">
        <v>2018</v>
      </c>
      <c r="K84" s="5" t="s">
        <v>2011</v>
      </c>
      <c r="L84" s="5" t="s">
        <v>108</v>
      </c>
      <c r="M84" s="5">
        <v>4</v>
      </c>
      <c r="N84" s="5" t="s">
        <v>2012</v>
      </c>
      <c r="O84" s="5" t="s">
        <v>2013</v>
      </c>
    </row>
    <row r="85" spans="1:15" ht="289.8">
      <c r="A85" s="5" t="s">
        <v>2163</v>
      </c>
      <c r="B85" s="5" t="s">
        <v>895</v>
      </c>
      <c r="C85" s="5" t="s">
        <v>152</v>
      </c>
      <c r="D85" s="5" t="s">
        <v>2025</v>
      </c>
      <c r="E85" s="5" t="s">
        <v>928</v>
      </c>
      <c r="F85" s="5">
        <v>1</v>
      </c>
      <c r="G85" s="5" t="s">
        <v>2007</v>
      </c>
      <c r="H85" s="5" t="s">
        <v>2008</v>
      </c>
      <c r="I85" s="5" t="s">
        <v>2027</v>
      </c>
      <c r="J85" s="5" t="s">
        <v>2010</v>
      </c>
      <c r="K85" s="5" t="s">
        <v>2011</v>
      </c>
      <c r="L85" s="5" t="s">
        <v>108</v>
      </c>
      <c r="M85" s="5">
        <v>4</v>
      </c>
      <c r="N85" s="5" t="s">
        <v>2012</v>
      </c>
      <c r="O85" s="5" t="s">
        <v>2013</v>
      </c>
    </row>
    <row r="86" spans="1:15" ht="69">
      <c r="A86" s="5" t="s">
        <v>2164</v>
      </c>
      <c r="B86" s="5" t="s">
        <v>935</v>
      </c>
      <c r="C86" s="5" t="s">
        <v>152</v>
      </c>
      <c r="D86" s="5" t="s">
        <v>2006</v>
      </c>
      <c r="E86" s="5" t="s">
        <v>967</v>
      </c>
      <c r="F86" s="5">
        <v>2</v>
      </c>
      <c r="G86" s="5" t="s">
        <v>2007</v>
      </c>
      <c r="H86" s="5" t="s">
        <v>2008</v>
      </c>
      <c r="I86" s="5" t="s">
        <v>2033</v>
      </c>
      <c r="J86" s="5" t="s">
        <v>2010</v>
      </c>
      <c r="K86" s="5" t="s">
        <v>2011</v>
      </c>
      <c r="L86" s="5" t="s">
        <v>108</v>
      </c>
      <c r="M86" s="5">
        <v>4</v>
      </c>
      <c r="N86" s="5" t="s">
        <v>2012</v>
      </c>
      <c r="O86" s="5" t="s">
        <v>2013</v>
      </c>
    </row>
    <row r="87" spans="1:15" ht="41.4">
      <c r="A87" s="5" t="s">
        <v>2165</v>
      </c>
      <c r="B87" s="5" t="s">
        <v>935</v>
      </c>
      <c r="C87" s="5" t="s">
        <v>194</v>
      </c>
      <c r="D87" s="5" t="s">
        <v>2006</v>
      </c>
      <c r="E87" s="5" t="s">
        <v>968</v>
      </c>
      <c r="F87" s="5">
        <v>2</v>
      </c>
      <c r="G87" s="5" t="s">
        <v>2007</v>
      </c>
      <c r="H87" s="5" t="s">
        <v>2029</v>
      </c>
      <c r="I87" s="5" t="s">
        <v>2030</v>
      </c>
      <c r="J87" s="5" t="s">
        <v>2031</v>
      </c>
      <c r="K87" s="5" t="s">
        <v>2011</v>
      </c>
      <c r="L87" s="5" t="s">
        <v>108</v>
      </c>
      <c r="M87" s="5">
        <v>4</v>
      </c>
      <c r="N87" s="5" t="s">
        <v>2012</v>
      </c>
      <c r="O87" s="5" t="s">
        <v>2013</v>
      </c>
    </row>
    <row r="88" spans="1:15" ht="55.2">
      <c r="A88" s="5" t="s">
        <v>2166</v>
      </c>
      <c r="B88" s="5" t="s">
        <v>935</v>
      </c>
      <c r="C88" s="5" t="s">
        <v>154</v>
      </c>
      <c r="D88" s="5" t="s">
        <v>2006</v>
      </c>
      <c r="E88" s="5" t="s">
        <v>2167</v>
      </c>
      <c r="F88" s="5">
        <v>6</v>
      </c>
      <c r="G88" s="5" t="s">
        <v>2039</v>
      </c>
      <c r="H88" s="5" t="s">
        <v>2022</v>
      </c>
      <c r="I88" s="5" t="s">
        <v>2023</v>
      </c>
      <c r="J88" s="5" t="s">
        <v>2018</v>
      </c>
      <c r="K88" s="5" t="s">
        <v>2011</v>
      </c>
      <c r="L88" s="5" t="s">
        <v>108</v>
      </c>
      <c r="M88" s="5">
        <v>4</v>
      </c>
      <c r="N88" s="5" t="s">
        <v>2012</v>
      </c>
      <c r="O88" s="5" t="s">
        <v>2013</v>
      </c>
    </row>
    <row r="89" spans="1:15" ht="41.4">
      <c r="A89" s="5" t="s">
        <v>2168</v>
      </c>
      <c r="B89" s="5" t="s">
        <v>935</v>
      </c>
      <c r="C89" s="5" t="s">
        <v>152</v>
      </c>
      <c r="D89" s="5" t="s">
        <v>2025</v>
      </c>
      <c r="E89" s="5" t="s">
        <v>2169</v>
      </c>
      <c r="F89" s="5">
        <v>2</v>
      </c>
      <c r="G89" s="5" t="s">
        <v>2007</v>
      </c>
      <c r="H89" s="5" t="s">
        <v>2008</v>
      </c>
      <c r="I89" s="5" t="s">
        <v>2027</v>
      </c>
      <c r="J89" s="5" t="s">
        <v>2010</v>
      </c>
      <c r="K89" s="5" t="s">
        <v>2011</v>
      </c>
      <c r="L89" s="5" t="s">
        <v>108</v>
      </c>
      <c r="M89" s="5">
        <v>4</v>
      </c>
      <c r="N89" s="5" t="s">
        <v>2012</v>
      </c>
      <c r="O89" s="5" t="s">
        <v>2013</v>
      </c>
    </row>
    <row r="90" spans="1:15" ht="41.4">
      <c r="A90" s="5" t="s">
        <v>2170</v>
      </c>
      <c r="B90" s="5" t="s">
        <v>975</v>
      </c>
      <c r="C90" s="5" t="s">
        <v>154</v>
      </c>
      <c r="D90" s="5" t="s">
        <v>2006</v>
      </c>
      <c r="E90" s="5" t="s">
        <v>1011</v>
      </c>
      <c r="F90" s="5">
        <v>4</v>
      </c>
      <c r="G90" s="5" t="s">
        <v>2015</v>
      </c>
      <c r="H90" s="5" t="s">
        <v>2022</v>
      </c>
      <c r="I90" s="5" t="s">
        <v>2023</v>
      </c>
      <c r="J90" s="5" t="s">
        <v>2018</v>
      </c>
      <c r="K90" s="5" t="s">
        <v>2011</v>
      </c>
      <c r="L90" s="5" t="s">
        <v>108</v>
      </c>
      <c r="M90" s="5">
        <v>4</v>
      </c>
      <c r="N90" s="5" t="s">
        <v>2012</v>
      </c>
      <c r="O90" s="5" t="s">
        <v>2013</v>
      </c>
    </row>
    <row r="91" spans="1:15" ht="41.4">
      <c r="A91" s="5" t="s">
        <v>2171</v>
      </c>
      <c r="B91" s="5" t="s">
        <v>975</v>
      </c>
      <c r="C91" s="5" t="s">
        <v>252</v>
      </c>
      <c r="D91" s="5" t="s">
        <v>2006</v>
      </c>
      <c r="E91" s="5" t="s">
        <v>1012</v>
      </c>
      <c r="F91" s="5">
        <v>2</v>
      </c>
      <c r="G91" s="5" t="s">
        <v>2015</v>
      </c>
      <c r="H91" s="5" t="s">
        <v>2101</v>
      </c>
      <c r="I91" s="5" t="s">
        <v>2125</v>
      </c>
      <c r="J91" s="5" t="s">
        <v>2018</v>
      </c>
      <c r="K91" s="5" t="s">
        <v>2011</v>
      </c>
      <c r="L91" s="5" t="s">
        <v>108</v>
      </c>
      <c r="M91" s="5">
        <v>4</v>
      </c>
      <c r="N91" s="5" t="s">
        <v>2012</v>
      </c>
      <c r="O91" s="5" t="s">
        <v>2013</v>
      </c>
    </row>
    <row r="92" spans="1:15" ht="69">
      <c r="A92" s="5" t="s">
        <v>2172</v>
      </c>
      <c r="B92" s="5" t="s">
        <v>975</v>
      </c>
      <c r="C92" s="5" t="s">
        <v>155</v>
      </c>
      <c r="D92" s="5" t="s">
        <v>2006</v>
      </c>
      <c r="E92" s="5" t="s">
        <v>1007</v>
      </c>
      <c r="F92" s="5">
        <v>5</v>
      </c>
      <c r="G92" s="5" t="s">
        <v>2021</v>
      </c>
      <c r="H92" s="5" t="s">
        <v>2062</v>
      </c>
      <c r="I92" s="5" t="s">
        <v>2063</v>
      </c>
      <c r="J92" s="5" t="s">
        <v>2018</v>
      </c>
      <c r="K92" s="5" t="s">
        <v>2011</v>
      </c>
      <c r="L92" s="5" t="s">
        <v>108</v>
      </c>
      <c r="M92" s="5">
        <v>4</v>
      </c>
      <c r="N92" s="5" t="s">
        <v>2012</v>
      </c>
      <c r="O92" s="5" t="s">
        <v>2013</v>
      </c>
    </row>
    <row r="93" spans="1:15" ht="193.2">
      <c r="A93" s="5" t="s">
        <v>2173</v>
      </c>
      <c r="B93" s="5" t="s">
        <v>975</v>
      </c>
      <c r="C93" s="5" t="s">
        <v>154</v>
      </c>
      <c r="D93" s="5" t="s">
        <v>2025</v>
      </c>
      <c r="E93" s="5" t="s">
        <v>2174</v>
      </c>
      <c r="F93" s="5">
        <v>1</v>
      </c>
      <c r="G93" s="5" t="s">
        <v>2007</v>
      </c>
      <c r="H93" s="5" t="s">
        <v>2022</v>
      </c>
      <c r="I93" s="5" t="s">
        <v>2027</v>
      </c>
      <c r="J93" s="5" t="s">
        <v>2018</v>
      </c>
      <c r="K93" s="5" t="s">
        <v>2011</v>
      </c>
      <c r="L93" s="5" t="s">
        <v>108</v>
      </c>
      <c r="M93" s="5">
        <v>4</v>
      </c>
      <c r="N93" s="5" t="s">
        <v>2012</v>
      </c>
      <c r="O93" s="5" t="s">
        <v>2013</v>
      </c>
    </row>
    <row r="94" spans="1:15" ht="69">
      <c r="A94" s="5" t="s">
        <v>2175</v>
      </c>
      <c r="B94" s="5" t="s">
        <v>1018</v>
      </c>
      <c r="C94" s="5" t="s">
        <v>154</v>
      </c>
      <c r="D94" s="5" t="s">
        <v>2006</v>
      </c>
      <c r="E94" s="5" t="s">
        <v>1053</v>
      </c>
      <c r="F94" s="5">
        <v>2</v>
      </c>
      <c r="G94" s="5" t="s">
        <v>2015</v>
      </c>
      <c r="H94" s="5" t="s">
        <v>2022</v>
      </c>
      <c r="I94" s="5" t="s">
        <v>2023</v>
      </c>
      <c r="J94" s="5" t="s">
        <v>2018</v>
      </c>
      <c r="K94" s="5" t="s">
        <v>2011</v>
      </c>
      <c r="L94" s="5" t="s">
        <v>108</v>
      </c>
      <c r="M94" s="5">
        <v>4</v>
      </c>
      <c r="N94" s="5" t="s">
        <v>2012</v>
      </c>
      <c r="O94" s="5" t="s">
        <v>2013</v>
      </c>
    </row>
    <row r="95" spans="1:15" ht="110.4">
      <c r="A95" s="5" t="s">
        <v>2176</v>
      </c>
      <c r="B95" s="5" t="s">
        <v>1018</v>
      </c>
      <c r="C95" s="5" t="s">
        <v>251</v>
      </c>
      <c r="D95" s="5" t="s">
        <v>2006</v>
      </c>
      <c r="E95" s="5" t="s">
        <v>1054</v>
      </c>
      <c r="F95" s="5">
        <v>3</v>
      </c>
      <c r="G95" s="5" t="s">
        <v>2021</v>
      </c>
      <c r="H95" s="5" t="s">
        <v>2044</v>
      </c>
      <c r="I95" s="5" t="s">
        <v>2045</v>
      </c>
      <c r="J95" s="5" t="s">
        <v>2018</v>
      </c>
      <c r="K95" s="5" t="s">
        <v>2011</v>
      </c>
      <c r="L95" s="5" t="s">
        <v>108</v>
      </c>
      <c r="M95" s="5">
        <v>4</v>
      </c>
      <c r="N95" s="5" t="s">
        <v>2012</v>
      </c>
      <c r="O95" s="5" t="s">
        <v>2013</v>
      </c>
    </row>
    <row r="96" spans="1:15" ht="55.2">
      <c r="A96" s="5" t="s">
        <v>2177</v>
      </c>
      <c r="B96" s="5" t="s">
        <v>1018</v>
      </c>
      <c r="C96" s="5" t="s">
        <v>155</v>
      </c>
      <c r="D96" s="5" t="s">
        <v>2006</v>
      </c>
      <c r="E96" s="5" t="s">
        <v>1049</v>
      </c>
      <c r="F96" s="5">
        <v>6</v>
      </c>
      <c r="G96" s="5" t="s">
        <v>2015</v>
      </c>
      <c r="H96" s="5" t="s">
        <v>2062</v>
      </c>
      <c r="I96" s="5" t="s">
        <v>2136</v>
      </c>
      <c r="J96" s="5" t="s">
        <v>2018</v>
      </c>
      <c r="K96" s="5" t="s">
        <v>2011</v>
      </c>
      <c r="L96" s="5" t="s">
        <v>108</v>
      </c>
      <c r="M96" s="5">
        <v>4</v>
      </c>
      <c r="N96" s="5" t="s">
        <v>2012</v>
      </c>
      <c r="O96" s="5" t="s">
        <v>2013</v>
      </c>
    </row>
    <row r="97" spans="1:15" ht="193.2">
      <c r="A97" s="5" t="s">
        <v>2178</v>
      </c>
      <c r="B97" s="5" t="s">
        <v>1018</v>
      </c>
      <c r="C97" s="5" t="s">
        <v>154</v>
      </c>
      <c r="D97" s="5" t="s">
        <v>2025</v>
      </c>
      <c r="E97" s="5" t="s">
        <v>2179</v>
      </c>
      <c r="F97" s="5">
        <v>1</v>
      </c>
      <c r="G97" s="5" t="s">
        <v>2007</v>
      </c>
      <c r="H97" s="5" t="s">
        <v>2022</v>
      </c>
      <c r="I97" s="5" t="s">
        <v>2027</v>
      </c>
      <c r="J97" s="5" t="s">
        <v>2018</v>
      </c>
      <c r="K97" s="5" t="s">
        <v>2011</v>
      </c>
      <c r="L97" s="5" t="s">
        <v>108</v>
      </c>
      <c r="M97" s="5">
        <v>4</v>
      </c>
      <c r="N97" s="5" t="s">
        <v>2012</v>
      </c>
      <c r="O97" s="5" t="s">
        <v>2013</v>
      </c>
    </row>
    <row r="98" spans="1:15" ht="41.4">
      <c r="A98" s="5" t="s">
        <v>2180</v>
      </c>
      <c r="B98" s="5" t="s">
        <v>1060</v>
      </c>
      <c r="C98" s="5" t="s">
        <v>154</v>
      </c>
      <c r="D98" s="5" t="s">
        <v>2006</v>
      </c>
      <c r="E98" s="5" t="s">
        <v>1094</v>
      </c>
      <c r="F98" s="5">
        <v>2</v>
      </c>
      <c r="G98" s="5" t="s">
        <v>2015</v>
      </c>
      <c r="H98" s="5" t="s">
        <v>2022</v>
      </c>
      <c r="I98" s="5" t="s">
        <v>2106</v>
      </c>
      <c r="J98" s="5" t="s">
        <v>2018</v>
      </c>
      <c r="K98" s="5" t="s">
        <v>2011</v>
      </c>
      <c r="L98" s="5" t="s">
        <v>108</v>
      </c>
      <c r="M98" s="5">
        <v>4</v>
      </c>
      <c r="N98" s="5" t="s">
        <v>2012</v>
      </c>
      <c r="O98" s="5" t="s">
        <v>2013</v>
      </c>
    </row>
    <row r="99" spans="1:15" ht="55.2">
      <c r="A99" s="5" t="s">
        <v>2181</v>
      </c>
      <c r="B99" s="5" t="s">
        <v>1060</v>
      </c>
      <c r="C99" s="5" t="s">
        <v>152</v>
      </c>
      <c r="D99" s="5" t="s">
        <v>2006</v>
      </c>
      <c r="E99" s="5" t="s">
        <v>1095</v>
      </c>
      <c r="F99" s="5">
        <v>10</v>
      </c>
      <c r="G99" s="5" t="s">
        <v>2146</v>
      </c>
      <c r="H99" s="5" t="s">
        <v>2008</v>
      </c>
      <c r="I99" s="5" t="s">
        <v>2033</v>
      </c>
      <c r="J99" s="5" t="s">
        <v>2010</v>
      </c>
      <c r="K99" s="5" t="s">
        <v>2011</v>
      </c>
      <c r="L99" s="5" t="s">
        <v>108</v>
      </c>
      <c r="M99" s="5">
        <v>4</v>
      </c>
      <c r="N99" s="5" t="s">
        <v>2012</v>
      </c>
      <c r="O99" s="5" t="s">
        <v>2013</v>
      </c>
    </row>
    <row r="100" spans="1:15" ht="289.8">
      <c r="A100" s="5" t="s">
        <v>2182</v>
      </c>
      <c r="B100" s="5" t="s">
        <v>1060</v>
      </c>
      <c r="C100" s="5" t="s">
        <v>252</v>
      </c>
      <c r="D100" s="5" t="s">
        <v>2006</v>
      </c>
      <c r="E100" s="5" t="s">
        <v>2183</v>
      </c>
      <c r="F100" s="5">
        <v>9</v>
      </c>
      <c r="G100" s="5" t="s">
        <v>2146</v>
      </c>
      <c r="H100" s="5" t="s">
        <v>2101</v>
      </c>
      <c r="I100" s="5" t="s">
        <v>2102</v>
      </c>
      <c r="J100" s="5" t="s">
        <v>2018</v>
      </c>
      <c r="K100" s="5" t="s">
        <v>2011</v>
      </c>
      <c r="L100" s="5" t="s">
        <v>108</v>
      </c>
      <c r="M100" s="5">
        <v>4</v>
      </c>
      <c r="N100" s="5" t="s">
        <v>2012</v>
      </c>
      <c r="O100" s="5" t="s">
        <v>2013</v>
      </c>
    </row>
    <row r="101" spans="1:15" ht="96.6">
      <c r="A101" s="5" t="s">
        <v>2184</v>
      </c>
      <c r="B101" s="5" t="s">
        <v>1060</v>
      </c>
      <c r="C101" s="5" t="s">
        <v>154</v>
      </c>
      <c r="D101" s="5" t="s">
        <v>2025</v>
      </c>
      <c r="E101" s="5" t="s">
        <v>1081</v>
      </c>
      <c r="F101" s="5">
        <v>1</v>
      </c>
      <c r="G101" s="5" t="s">
        <v>2007</v>
      </c>
      <c r="H101" s="5" t="s">
        <v>2022</v>
      </c>
      <c r="I101" s="5" t="s">
        <v>2027</v>
      </c>
      <c r="J101" s="5" t="s">
        <v>2018</v>
      </c>
      <c r="K101" s="5" t="s">
        <v>2011</v>
      </c>
      <c r="L101" s="5" t="s">
        <v>108</v>
      </c>
      <c r="M101" s="5">
        <v>4</v>
      </c>
      <c r="N101" s="5" t="s">
        <v>2012</v>
      </c>
      <c r="O101" s="5" t="s">
        <v>2013</v>
      </c>
    </row>
    <row r="102" spans="1:15" ht="41.4">
      <c r="A102" s="5" t="s">
        <v>2185</v>
      </c>
      <c r="B102" s="5" t="s">
        <v>1102</v>
      </c>
      <c r="C102" s="5" t="s">
        <v>154</v>
      </c>
      <c r="D102" s="5" t="s">
        <v>2006</v>
      </c>
      <c r="E102" s="5" t="s">
        <v>1136</v>
      </c>
      <c r="F102" s="5">
        <v>13</v>
      </c>
      <c r="G102" s="5" t="s">
        <v>2021</v>
      </c>
      <c r="H102" s="5" t="s">
        <v>2022</v>
      </c>
      <c r="I102" s="5" t="s">
        <v>2023</v>
      </c>
      <c r="J102" s="5" t="s">
        <v>2018</v>
      </c>
      <c r="K102" s="5" t="s">
        <v>2011</v>
      </c>
      <c r="L102" s="5" t="s">
        <v>108</v>
      </c>
      <c r="M102" s="5">
        <v>4</v>
      </c>
      <c r="N102" s="5" t="s">
        <v>2012</v>
      </c>
      <c r="O102" s="5" t="s">
        <v>2013</v>
      </c>
    </row>
    <row r="103" spans="1:15" ht="41.4">
      <c r="A103" s="5" t="s">
        <v>2186</v>
      </c>
      <c r="B103" s="5" t="s">
        <v>1102</v>
      </c>
      <c r="C103" s="5" t="s">
        <v>153</v>
      </c>
      <c r="D103" s="5" t="s">
        <v>2006</v>
      </c>
      <c r="E103" s="5" t="s">
        <v>1132</v>
      </c>
      <c r="F103" s="5">
        <v>2</v>
      </c>
      <c r="G103" s="5" t="s">
        <v>2021</v>
      </c>
      <c r="H103" s="5" t="s">
        <v>2016</v>
      </c>
      <c r="I103" s="5" t="s">
        <v>2017</v>
      </c>
      <c r="J103" s="5" t="s">
        <v>2018</v>
      </c>
      <c r="K103" s="5" t="s">
        <v>2011</v>
      </c>
      <c r="L103" s="5" t="s">
        <v>108</v>
      </c>
      <c r="M103" s="5">
        <v>4</v>
      </c>
      <c r="N103" s="5" t="s">
        <v>2012</v>
      </c>
      <c r="O103" s="5" t="s">
        <v>2013</v>
      </c>
    </row>
    <row r="104" spans="1:15" ht="41.4">
      <c r="A104" s="5" t="s">
        <v>2187</v>
      </c>
      <c r="B104" s="5" t="s">
        <v>1102</v>
      </c>
      <c r="C104" s="5" t="s">
        <v>155</v>
      </c>
      <c r="D104" s="5" t="s">
        <v>2006</v>
      </c>
      <c r="E104" s="5" t="s">
        <v>1117</v>
      </c>
      <c r="F104" s="5">
        <v>4</v>
      </c>
      <c r="G104" s="5" t="s">
        <v>2049</v>
      </c>
      <c r="H104" s="5" t="s">
        <v>2062</v>
      </c>
      <c r="I104" s="5" t="s">
        <v>2063</v>
      </c>
      <c r="J104" s="5" t="s">
        <v>2018</v>
      </c>
      <c r="K104" s="5" t="s">
        <v>2011</v>
      </c>
      <c r="L104" s="5" t="s">
        <v>108</v>
      </c>
      <c r="M104" s="5">
        <v>4</v>
      </c>
      <c r="N104" s="5" t="s">
        <v>2012</v>
      </c>
      <c r="O104" s="5" t="s">
        <v>2013</v>
      </c>
    </row>
    <row r="105" spans="1:15" ht="110.4">
      <c r="A105" s="5" t="s">
        <v>2188</v>
      </c>
      <c r="B105" s="5" t="s">
        <v>1102</v>
      </c>
      <c r="C105" s="5" t="s">
        <v>154</v>
      </c>
      <c r="D105" s="5" t="s">
        <v>2025</v>
      </c>
      <c r="E105" s="5" t="s">
        <v>2189</v>
      </c>
      <c r="F105" s="5">
        <v>1</v>
      </c>
      <c r="G105" s="5" t="s">
        <v>2007</v>
      </c>
      <c r="H105" s="5" t="s">
        <v>2022</v>
      </c>
      <c r="I105" s="5" t="s">
        <v>2027</v>
      </c>
      <c r="J105" s="5" t="s">
        <v>2018</v>
      </c>
      <c r="K105" s="5" t="s">
        <v>2011</v>
      </c>
      <c r="L105" s="5" t="s">
        <v>108</v>
      </c>
      <c r="M105" s="5">
        <v>4</v>
      </c>
      <c r="N105" s="5" t="s">
        <v>2012</v>
      </c>
      <c r="O105" s="5" t="s">
        <v>2013</v>
      </c>
    </row>
    <row r="106" spans="1:15" ht="276">
      <c r="A106" s="5" t="s">
        <v>2190</v>
      </c>
      <c r="B106" s="5" t="s">
        <v>1142</v>
      </c>
      <c r="C106" s="5" t="s">
        <v>152</v>
      </c>
      <c r="D106" s="5" t="s">
        <v>2006</v>
      </c>
      <c r="E106" s="5" t="s">
        <v>1177</v>
      </c>
      <c r="F106" s="5">
        <v>1</v>
      </c>
      <c r="G106" s="5" t="s">
        <v>2007</v>
      </c>
      <c r="H106" s="5" t="s">
        <v>2008</v>
      </c>
      <c r="I106" s="5" t="s">
        <v>2009</v>
      </c>
      <c r="J106" s="5" t="s">
        <v>2010</v>
      </c>
      <c r="K106" s="5" t="s">
        <v>2011</v>
      </c>
      <c r="L106" s="5" t="s">
        <v>108</v>
      </c>
      <c r="M106" s="5">
        <v>4</v>
      </c>
      <c r="N106" s="5" t="s">
        <v>2012</v>
      </c>
      <c r="O106" s="5" t="s">
        <v>2013</v>
      </c>
    </row>
    <row r="107" spans="1:15" ht="55.2">
      <c r="A107" s="5" t="s">
        <v>2191</v>
      </c>
      <c r="B107" s="5" t="s">
        <v>1142</v>
      </c>
      <c r="C107" s="5" t="s">
        <v>154</v>
      </c>
      <c r="D107" s="5" t="s">
        <v>2006</v>
      </c>
      <c r="E107" s="5" t="s">
        <v>1178</v>
      </c>
      <c r="F107" s="5">
        <v>7</v>
      </c>
      <c r="G107" s="5" t="s">
        <v>2021</v>
      </c>
      <c r="H107" s="5" t="s">
        <v>2022</v>
      </c>
      <c r="I107" s="5" t="s">
        <v>2192</v>
      </c>
      <c r="J107" s="5" t="s">
        <v>2018</v>
      </c>
      <c r="K107" s="5" t="s">
        <v>2011</v>
      </c>
      <c r="L107" s="5" t="s">
        <v>108</v>
      </c>
      <c r="M107" s="5">
        <v>4</v>
      </c>
      <c r="N107" s="5" t="s">
        <v>2012</v>
      </c>
      <c r="O107" s="5" t="s">
        <v>2013</v>
      </c>
    </row>
    <row r="108" spans="1:15" ht="82.8">
      <c r="A108" s="5" t="s">
        <v>2193</v>
      </c>
      <c r="B108" s="5" t="s">
        <v>1142</v>
      </c>
      <c r="C108" s="5" t="s">
        <v>155</v>
      </c>
      <c r="D108" s="5" t="s">
        <v>2006</v>
      </c>
      <c r="E108" s="5" t="s">
        <v>1173</v>
      </c>
      <c r="F108" s="5">
        <v>6</v>
      </c>
      <c r="G108" s="5" t="s">
        <v>2015</v>
      </c>
      <c r="H108" s="5" t="s">
        <v>2062</v>
      </c>
      <c r="I108" s="5" t="s">
        <v>2136</v>
      </c>
      <c r="J108" s="5" t="s">
        <v>2018</v>
      </c>
      <c r="K108" s="5" t="s">
        <v>2011</v>
      </c>
      <c r="L108" s="5" t="s">
        <v>108</v>
      </c>
      <c r="M108" s="5">
        <v>4</v>
      </c>
      <c r="N108" s="5" t="s">
        <v>2012</v>
      </c>
      <c r="O108" s="5" t="s">
        <v>2013</v>
      </c>
    </row>
    <row r="109" spans="1:15" ht="276">
      <c r="A109" s="5" t="s">
        <v>2194</v>
      </c>
      <c r="B109" s="5" t="s">
        <v>1142</v>
      </c>
      <c r="C109" s="5" t="s">
        <v>152</v>
      </c>
      <c r="D109" s="5" t="s">
        <v>2025</v>
      </c>
      <c r="E109" s="5" t="s">
        <v>1177</v>
      </c>
      <c r="F109" s="5">
        <v>1</v>
      </c>
      <c r="G109" s="5" t="s">
        <v>2007</v>
      </c>
      <c r="H109" s="5" t="s">
        <v>2008</v>
      </c>
      <c r="I109" s="5" t="s">
        <v>2027</v>
      </c>
      <c r="J109" s="5" t="s">
        <v>2010</v>
      </c>
      <c r="K109" s="5" t="s">
        <v>2011</v>
      </c>
      <c r="L109" s="5" t="s">
        <v>108</v>
      </c>
      <c r="M109" s="5">
        <v>4</v>
      </c>
      <c r="N109" s="5" t="s">
        <v>2012</v>
      </c>
      <c r="O109" s="5" t="s">
        <v>2013</v>
      </c>
    </row>
    <row r="110" spans="1:15" ht="41.4">
      <c r="A110" s="5" t="s">
        <v>2195</v>
      </c>
      <c r="B110" s="5" t="s">
        <v>1185</v>
      </c>
      <c r="C110" s="5" t="s">
        <v>154</v>
      </c>
      <c r="D110" s="5" t="s">
        <v>2006</v>
      </c>
      <c r="E110" s="5" t="s">
        <v>1219</v>
      </c>
      <c r="F110" s="5">
        <v>2</v>
      </c>
      <c r="G110" s="5" t="s">
        <v>2021</v>
      </c>
      <c r="H110" s="5" t="s">
        <v>2022</v>
      </c>
      <c r="I110" s="5" t="s">
        <v>2106</v>
      </c>
      <c r="J110" s="5" t="s">
        <v>2018</v>
      </c>
      <c r="K110" s="5" t="s">
        <v>2011</v>
      </c>
      <c r="L110" s="5" t="s">
        <v>108</v>
      </c>
      <c r="M110" s="5">
        <v>4</v>
      </c>
      <c r="N110" s="5" t="s">
        <v>2012</v>
      </c>
      <c r="O110" s="5" t="s">
        <v>2013</v>
      </c>
    </row>
    <row r="111" spans="1:15" ht="110.4">
      <c r="A111" s="5" t="s">
        <v>2196</v>
      </c>
      <c r="B111" s="5" t="s">
        <v>1185</v>
      </c>
      <c r="C111" s="5" t="s">
        <v>530</v>
      </c>
      <c r="D111" s="5" t="s">
        <v>2006</v>
      </c>
      <c r="E111" s="5" t="s">
        <v>1200</v>
      </c>
      <c r="F111" s="5">
        <v>2</v>
      </c>
      <c r="G111" s="5" t="s">
        <v>2021</v>
      </c>
      <c r="H111" s="5" t="s">
        <v>2091</v>
      </c>
      <c r="I111" s="5" t="s">
        <v>2092</v>
      </c>
      <c r="J111" s="5" t="s">
        <v>2093</v>
      </c>
      <c r="K111" s="5" t="s">
        <v>2011</v>
      </c>
      <c r="L111" s="5" t="s">
        <v>108</v>
      </c>
      <c r="M111" s="5">
        <v>4</v>
      </c>
      <c r="N111" s="5" t="s">
        <v>2012</v>
      </c>
      <c r="O111" s="5" t="s">
        <v>2013</v>
      </c>
    </row>
    <row r="112" spans="1:15" ht="41.4">
      <c r="A112" s="5" t="s">
        <v>2197</v>
      </c>
      <c r="B112" s="5" t="s">
        <v>1185</v>
      </c>
      <c r="C112" s="5" t="s">
        <v>252</v>
      </c>
      <c r="D112" s="5" t="s">
        <v>2006</v>
      </c>
      <c r="E112" s="5" t="s">
        <v>2198</v>
      </c>
      <c r="F112" s="5">
        <v>5</v>
      </c>
      <c r="G112" s="5" t="s">
        <v>2021</v>
      </c>
      <c r="H112" s="5" t="s">
        <v>2101</v>
      </c>
      <c r="I112" s="5" t="s">
        <v>2125</v>
      </c>
      <c r="J112" s="5" t="s">
        <v>2018</v>
      </c>
      <c r="K112" s="5" t="s">
        <v>2011</v>
      </c>
      <c r="L112" s="5" t="s">
        <v>108</v>
      </c>
      <c r="M112" s="5">
        <v>4</v>
      </c>
      <c r="N112" s="5" t="s">
        <v>2012</v>
      </c>
      <c r="O112" s="5" t="s">
        <v>2013</v>
      </c>
    </row>
    <row r="113" spans="1:15" ht="41.4">
      <c r="A113" s="5" t="s">
        <v>2199</v>
      </c>
      <c r="B113" s="5" t="s">
        <v>1185</v>
      </c>
      <c r="C113" s="5" t="s">
        <v>154</v>
      </c>
      <c r="D113" s="5" t="s">
        <v>2025</v>
      </c>
      <c r="E113" s="5" t="s">
        <v>1222</v>
      </c>
      <c r="F113" s="5">
        <v>1</v>
      </c>
      <c r="G113" s="5" t="s">
        <v>2007</v>
      </c>
      <c r="H113" s="5" t="s">
        <v>2022</v>
      </c>
      <c r="I113" s="5" t="s">
        <v>2027</v>
      </c>
      <c r="J113" s="5" t="s">
        <v>2018</v>
      </c>
      <c r="K113" s="5" t="s">
        <v>2011</v>
      </c>
      <c r="L113" s="5" t="s">
        <v>108</v>
      </c>
      <c r="M113" s="5">
        <v>4</v>
      </c>
      <c r="N113" s="5" t="s">
        <v>2012</v>
      </c>
      <c r="O113" s="5" t="s">
        <v>2013</v>
      </c>
    </row>
    <row r="114" spans="1:15" ht="55.2">
      <c r="A114" s="5" t="s">
        <v>2200</v>
      </c>
      <c r="B114" s="5" t="s">
        <v>1226</v>
      </c>
      <c r="C114" s="5" t="s">
        <v>154</v>
      </c>
      <c r="D114" s="5" t="s">
        <v>2006</v>
      </c>
      <c r="E114" s="5" t="s">
        <v>1257</v>
      </c>
      <c r="F114" s="5">
        <v>12</v>
      </c>
      <c r="G114" s="5" t="s">
        <v>2015</v>
      </c>
      <c r="H114" s="5" t="s">
        <v>2022</v>
      </c>
      <c r="I114" s="5" t="s">
        <v>2023</v>
      </c>
      <c r="J114" s="5" t="s">
        <v>2018</v>
      </c>
      <c r="K114" s="5" t="s">
        <v>2011</v>
      </c>
      <c r="L114" s="5" t="s">
        <v>108</v>
      </c>
      <c r="M114" s="5">
        <v>4</v>
      </c>
      <c r="N114" s="5" t="s">
        <v>2012</v>
      </c>
      <c r="O114" s="5" t="s">
        <v>2013</v>
      </c>
    </row>
    <row r="115" spans="1:15" ht="55.2">
      <c r="A115" s="5" t="s">
        <v>2201</v>
      </c>
      <c r="B115" s="5" t="s">
        <v>1226</v>
      </c>
      <c r="C115" s="5" t="s">
        <v>195</v>
      </c>
      <c r="D115" s="5" t="s">
        <v>2006</v>
      </c>
      <c r="E115" s="5" t="s">
        <v>1258</v>
      </c>
      <c r="F115" s="5">
        <v>9</v>
      </c>
      <c r="G115" s="5" t="s">
        <v>2015</v>
      </c>
      <c r="H115" s="5" t="s">
        <v>2035</v>
      </c>
      <c r="I115" s="5" t="s">
        <v>2202</v>
      </c>
      <c r="J115" s="5" t="s">
        <v>2018</v>
      </c>
      <c r="K115" s="5" t="s">
        <v>2011</v>
      </c>
      <c r="L115" s="5" t="s">
        <v>108</v>
      </c>
      <c r="M115" s="5">
        <v>4</v>
      </c>
      <c r="N115" s="5" t="s">
        <v>2012</v>
      </c>
      <c r="O115" s="5" t="s">
        <v>2013</v>
      </c>
    </row>
    <row r="116" spans="1:15" ht="41.4">
      <c r="A116" s="5" t="s">
        <v>2203</v>
      </c>
      <c r="B116" s="5" t="s">
        <v>1226</v>
      </c>
      <c r="C116" s="5" t="s">
        <v>252</v>
      </c>
      <c r="D116" s="5" t="s">
        <v>2006</v>
      </c>
      <c r="E116" s="5" t="s">
        <v>2204</v>
      </c>
      <c r="F116" s="5">
        <v>10</v>
      </c>
      <c r="G116" s="5" t="s">
        <v>2146</v>
      </c>
      <c r="H116" s="5" t="s">
        <v>2101</v>
      </c>
      <c r="I116" s="5" t="s">
        <v>2102</v>
      </c>
      <c r="J116" s="5" t="s">
        <v>2018</v>
      </c>
      <c r="K116" s="5" t="s">
        <v>2011</v>
      </c>
      <c r="L116" s="5" t="s">
        <v>108</v>
      </c>
      <c r="M116" s="5">
        <v>4</v>
      </c>
      <c r="N116" s="5" t="s">
        <v>2012</v>
      </c>
      <c r="O116" s="5" t="s">
        <v>2013</v>
      </c>
    </row>
    <row r="117" spans="1:15" ht="207">
      <c r="A117" s="5" t="s">
        <v>2205</v>
      </c>
      <c r="B117" s="5" t="s">
        <v>1226</v>
      </c>
      <c r="C117" s="5" t="s">
        <v>154</v>
      </c>
      <c r="D117" s="5" t="s">
        <v>2025</v>
      </c>
      <c r="E117" s="5" t="s">
        <v>2206</v>
      </c>
      <c r="F117" s="5">
        <v>1</v>
      </c>
      <c r="G117" s="5" t="s">
        <v>2007</v>
      </c>
      <c r="H117" s="5" t="s">
        <v>2022</v>
      </c>
      <c r="I117" s="5" t="s">
        <v>2027</v>
      </c>
      <c r="J117" s="5" t="s">
        <v>2018</v>
      </c>
      <c r="K117" s="5" t="s">
        <v>2011</v>
      </c>
      <c r="L117" s="5" t="s">
        <v>108</v>
      </c>
      <c r="M117" s="5">
        <v>4</v>
      </c>
      <c r="N117" s="5" t="s">
        <v>2012</v>
      </c>
      <c r="O117" s="5" t="s">
        <v>2013</v>
      </c>
    </row>
    <row r="118" spans="1:15" ht="69">
      <c r="A118" s="5" t="s">
        <v>2207</v>
      </c>
      <c r="B118" s="5" t="s">
        <v>1264</v>
      </c>
      <c r="C118" s="5" t="s">
        <v>154</v>
      </c>
      <c r="D118" s="5" t="s">
        <v>2006</v>
      </c>
      <c r="E118" s="5" t="s">
        <v>1299</v>
      </c>
      <c r="F118" s="5">
        <v>5</v>
      </c>
      <c r="G118" s="5" t="s">
        <v>2049</v>
      </c>
      <c r="H118" s="5" t="s">
        <v>2022</v>
      </c>
      <c r="I118" s="5" t="s">
        <v>2023</v>
      </c>
      <c r="J118" s="5" t="s">
        <v>2018</v>
      </c>
      <c r="K118" s="5" t="s">
        <v>2011</v>
      </c>
      <c r="L118" s="5" t="s">
        <v>108</v>
      </c>
      <c r="M118" s="5">
        <v>4</v>
      </c>
      <c r="N118" s="5" t="s">
        <v>2012</v>
      </c>
      <c r="O118" s="5" t="s">
        <v>2013</v>
      </c>
    </row>
    <row r="119" spans="1:15" ht="69">
      <c r="A119" s="5" t="s">
        <v>2208</v>
      </c>
      <c r="B119" s="5" t="s">
        <v>1264</v>
      </c>
      <c r="C119" s="5" t="s">
        <v>493</v>
      </c>
      <c r="D119" s="5" t="s">
        <v>2006</v>
      </c>
      <c r="E119" s="5" t="s">
        <v>1300</v>
      </c>
      <c r="F119" s="5">
        <v>1</v>
      </c>
      <c r="G119" s="5" t="s">
        <v>2007</v>
      </c>
      <c r="H119" s="5" t="s">
        <v>2085</v>
      </c>
      <c r="I119" s="5" t="s">
        <v>2086</v>
      </c>
      <c r="J119" s="5" t="s">
        <v>2018</v>
      </c>
      <c r="K119" s="5" t="s">
        <v>2011</v>
      </c>
      <c r="L119" s="5" t="s">
        <v>108</v>
      </c>
      <c r="M119" s="5">
        <v>4</v>
      </c>
      <c r="N119" s="5" t="s">
        <v>2012</v>
      </c>
      <c r="O119" s="5" t="s">
        <v>2013</v>
      </c>
    </row>
    <row r="120" spans="1:15" ht="69">
      <c r="A120" s="5" t="s">
        <v>2209</v>
      </c>
      <c r="B120" s="5" t="s">
        <v>1264</v>
      </c>
      <c r="C120" s="5" t="s">
        <v>195</v>
      </c>
      <c r="D120" s="5" t="s">
        <v>2006</v>
      </c>
      <c r="E120" s="5" t="s">
        <v>1300</v>
      </c>
      <c r="F120" s="5">
        <v>1</v>
      </c>
      <c r="G120" s="5" t="s">
        <v>2007</v>
      </c>
      <c r="H120" s="5" t="s">
        <v>2035</v>
      </c>
      <c r="I120" s="5" t="s">
        <v>2202</v>
      </c>
      <c r="J120" s="5" t="s">
        <v>2018</v>
      </c>
      <c r="K120" s="5" t="s">
        <v>2011</v>
      </c>
      <c r="L120" s="5" t="s">
        <v>108</v>
      </c>
      <c r="M120" s="5">
        <v>4</v>
      </c>
      <c r="N120" s="5" t="s">
        <v>2012</v>
      </c>
      <c r="O120" s="5" t="s">
        <v>2013</v>
      </c>
    </row>
    <row r="121" spans="1:15" ht="41.4">
      <c r="A121" s="5" t="s">
        <v>2210</v>
      </c>
      <c r="B121" s="5" t="s">
        <v>1264</v>
      </c>
      <c r="C121" s="5" t="s">
        <v>154</v>
      </c>
      <c r="D121" s="5" t="s">
        <v>2025</v>
      </c>
      <c r="E121" s="5" t="s">
        <v>2211</v>
      </c>
      <c r="F121" s="5">
        <v>1</v>
      </c>
      <c r="G121" s="5" t="s">
        <v>2007</v>
      </c>
      <c r="H121" s="5" t="s">
        <v>2022</v>
      </c>
      <c r="I121" s="5" t="s">
        <v>2027</v>
      </c>
      <c r="J121" s="5" t="s">
        <v>2018</v>
      </c>
      <c r="K121" s="5" t="s">
        <v>2011</v>
      </c>
      <c r="L121" s="5" t="s">
        <v>108</v>
      </c>
      <c r="M121" s="5">
        <v>4</v>
      </c>
      <c r="N121" s="5" t="s">
        <v>2012</v>
      </c>
      <c r="O121" s="5" t="s">
        <v>2013</v>
      </c>
    </row>
    <row r="122" spans="1:15" ht="110.4">
      <c r="A122" s="5" t="s">
        <v>2212</v>
      </c>
      <c r="B122" s="5" t="s">
        <v>1306</v>
      </c>
      <c r="C122" s="5" t="s">
        <v>152</v>
      </c>
      <c r="D122" s="5" t="s">
        <v>2006</v>
      </c>
      <c r="E122" s="5" t="s">
        <v>1334</v>
      </c>
      <c r="F122" s="5">
        <v>1</v>
      </c>
      <c r="G122" s="5" t="s">
        <v>2007</v>
      </c>
      <c r="H122" s="5" t="s">
        <v>2008</v>
      </c>
      <c r="I122" s="5" t="s">
        <v>2009</v>
      </c>
      <c r="J122" s="5" t="s">
        <v>2010</v>
      </c>
      <c r="K122" s="5" t="s">
        <v>2011</v>
      </c>
      <c r="L122" s="5" t="s">
        <v>108</v>
      </c>
      <c r="M122" s="5">
        <v>4</v>
      </c>
      <c r="N122" s="5" t="s">
        <v>2012</v>
      </c>
      <c r="O122" s="5" t="s">
        <v>2013</v>
      </c>
    </row>
    <row r="123" spans="1:15" ht="124.2">
      <c r="A123" s="5" t="s">
        <v>2213</v>
      </c>
      <c r="B123" s="5" t="s">
        <v>1306</v>
      </c>
      <c r="C123" s="5" t="s">
        <v>251</v>
      </c>
      <c r="D123" s="5" t="s">
        <v>2006</v>
      </c>
      <c r="E123" s="5" t="s">
        <v>1336</v>
      </c>
      <c r="F123" s="5">
        <v>2</v>
      </c>
      <c r="G123" s="5" t="s">
        <v>2021</v>
      </c>
      <c r="H123" s="5" t="s">
        <v>2044</v>
      </c>
      <c r="I123" s="5" t="s">
        <v>2045</v>
      </c>
      <c r="J123" s="5" t="s">
        <v>2018</v>
      </c>
      <c r="K123" s="5" t="s">
        <v>2011</v>
      </c>
      <c r="L123" s="5" t="s">
        <v>108</v>
      </c>
      <c r="M123" s="5">
        <v>4</v>
      </c>
      <c r="N123" s="5" t="s">
        <v>2012</v>
      </c>
      <c r="O123" s="5" t="s">
        <v>2013</v>
      </c>
    </row>
    <row r="124" spans="1:15" ht="82.8">
      <c r="A124" s="5" t="s">
        <v>2214</v>
      </c>
      <c r="B124" s="5" t="s">
        <v>1306</v>
      </c>
      <c r="C124" s="5" t="s">
        <v>493</v>
      </c>
      <c r="D124" s="5" t="s">
        <v>2006</v>
      </c>
      <c r="E124" s="5" t="s">
        <v>2215</v>
      </c>
      <c r="F124" s="5">
        <v>2</v>
      </c>
      <c r="G124" s="5" t="s">
        <v>2021</v>
      </c>
      <c r="H124" s="5" t="s">
        <v>2085</v>
      </c>
      <c r="I124" s="5" t="s">
        <v>2086</v>
      </c>
      <c r="J124" s="5" t="s">
        <v>2018</v>
      </c>
      <c r="K124" s="5" t="s">
        <v>2011</v>
      </c>
      <c r="L124" s="5" t="s">
        <v>108</v>
      </c>
      <c r="M124" s="5">
        <v>4</v>
      </c>
      <c r="N124" s="5" t="s">
        <v>2012</v>
      </c>
      <c r="O124" s="5" t="s">
        <v>2013</v>
      </c>
    </row>
    <row r="125" spans="1:15" ht="82.8">
      <c r="A125" s="5" t="s">
        <v>2216</v>
      </c>
      <c r="B125" s="5" t="s">
        <v>1306</v>
      </c>
      <c r="C125" s="5" t="s">
        <v>152</v>
      </c>
      <c r="D125" s="5" t="s">
        <v>2025</v>
      </c>
      <c r="E125" s="5" t="s">
        <v>1320</v>
      </c>
      <c r="F125" s="5">
        <v>1</v>
      </c>
      <c r="G125" s="5" t="s">
        <v>2007</v>
      </c>
      <c r="H125" s="5" t="s">
        <v>2008</v>
      </c>
      <c r="I125" s="5" t="s">
        <v>2027</v>
      </c>
      <c r="J125" s="5" t="s">
        <v>2010</v>
      </c>
      <c r="K125" s="5" t="s">
        <v>2011</v>
      </c>
      <c r="L125" s="5" t="s">
        <v>108</v>
      </c>
      <c r="M125" s="5">
        <v>4</v>
      </c>
      <c r="N125" s="5" t="s">
        <v>2012</v>
      </c>
      <c r="O125" s="5" t="s">
        <v>2013</v>
      </c>
    </row>
    <row r="126" spans="1:15" ht="248.4">
      <c r="A126" s="5" t="s">
        <v>2217</v>
      </c>
      <c r="B126" s="5" t="s">
        <v>1342</v>
      </c>
      <c r="C126" s="5" t="s">
        <v>154</v>
      </c>
      <c r="D126" s="5" t="s">
        <v>2006</v>
      </c>
      <c r="E126" s="5" t="s">
        <v>1369</v>
      </c>
      <c r="F126" s="5">
        <v>6</v>
      </c>
      <c r="G126" s="5" t="s">
        <v>2021</v>
      </c>
      <c r="H126" s="5" t="s">
        <v>2022</v>
      </c>
      <c r="I126" s="5" t="s">
        <v>2192</v>
      </c>
      <c r="J126" s="5" t="s">
        <v>2018</v>
      </c>
      <c r="K126" s="5" t="s">
        <v>2011</v>
      </c>
      <c r="L126" s="5" t="s">
        <v>108</v>
      </c>
      <c r="M126" s="5">
        <v>4</v>
      </c>
      <c r="N126" s="5" t="s">
        <v>2012</v>
      </c>
      <c r="O126" s="5" t="s">
        <v>2013</v>
      </c>
    </row>
    <row r="127" spans="1:15" ht="248.4">
      <c r="A127" s="5" t="s">
        <v>2218</v>
      </c>
      <c r="B127" s="5" t="s">
        <v>1342</v>
      </c>
      <c r="C127" s="5" t="s">
        <v>152</v>
      </c>
      <c r="D127" s="5" t="s">
        <v>2006</v>
      </c>
      <c r="E127" s="5" t="s">
        <v>1370</v>
      </c>
      <c r="F127" s="5">
        <v>1</v>
      </c>
      <c r="G127" s="5" t="s">
        <v>2007</v>
      </c>
      <c r="H127" s="5" t="s">
        <v>2008</v>
      </c>
      <c r="I127" s="5" t="s">
        <v>2033</v>
      </c>
      <c r="J127" s="5" t="s">
        <v>2010</v>
      </c>
      <c r="K127" s="5" t="s">
        <v>2011</v>
      </c>
      <c r="L127" s="5" t="s">
        <v>108</v>
      </c>
      <c r="M127" s="5">
        <v>4</v>
      </c>
      <c r="N127" s="5" t="s">
        <v>2012</v>
      </c>
      <c r="O127" s="5" t="s">
        <v>2013</v>
      </c>
    </row>
    <row r="128" spans="1:15" ht="55.2">
      <c r="A128" s="5" t="s">
        <v>2219</v>
      </c>
      <c r="B128" s="5" t="s">
        <v>1342</v>
      </c>
      <c r="C128" s="5" t="s">
        <v>493</v>
      </c>
      <c r="D128" s="5" t="s">
        <v>2006</v>
      </c>
      <c r="E128" s="5" t="s">
        <v>2220</v>
      </c>
      <c r="F128" s="5">
        <v>1</v>
      </c>
      <c r="G128" s="5" t="s">
        <v>2007</v>
      </c>
      <c r="H128" s="5" t="s">
        <v>2085</v>
      </c>
      <c r="I128" s="5" t="s">
        <v>2221</v>
      </c>
      <c r="J128" s="5" t="s">
        <v>2018</v>
      </c>
      <c r="K128" s="5" t="s">
        <v>2011</v>
      </c>
      <c r="L128" s="5" t="s">
        <v>108</v>
      </c>
      <c r="M128" s="5">
        <v>4</v>
      </c>
      <c r="N128" s="5" t="s">
        <v>2012</v>
      </c>
      <c r="O128" s="5" t="s">
        <v>2013</v>
      </c>
    </row>
    <row r="129" spans="1:15" ht="69">
      <c r="A129" s="5" t="s">
        <v>2222</v>
      </c>
      <c r="B129" s="5" t="s">
        <v>1342</v>
      </c>
      <c r="C129" s="5" t="s">
        <v>154</v>
      </c>
      <c r="D129" s="5" t="s">
        <v>2025</v>
      </c>
      <c r="E129" s="5" t="s">
        <v>1352</v>
      </c>
      <c r="F129" s="5">
        <v>1</v>
      </c>
      <c r="G129" s="5" t="s">
        <v>2007</v>
      </c>
      <c r="H129" s="5" t="s">
        <v>2022</v>
      </c>
      <c r="I129" s="5" t="s">
        <v>2027</v>
      </c>
      <c r="J129" s="5" t="s">
        <v>2018</v>
      </c>
      <c r="K129" s="5" t="s">
        <v>2011</v>
      </c>
      <c r="L129" s="5" t="s">
        <v>108</v>
      </c>
      <c r="M129" s="5">
        <v>4</v>
      </c>
      <c r="N129" s="5" t="s">
        <v>2012</v>
      </c>
      <c r="O129" s="5" t="s">
        <v>2013</v>
      </c>
    </row>
    <row r="130" spans="1:15" ht="69">
      <c r="A130" s="5" t="s">
        <v>2223</v>
      </c>
      <c r="B130" s="5" t="s">
        <v>1374</v>
      </c>
      <c r="C130" s="5" t="s">
        <v>152</v>
      </c>
      <c r="D130" s="5" t="s">
        <v>2006</v>
      </c>
      <c r="E130" s="5" t="s">
        <v>1393</v>
      </c>
      <c r="F130" s="5">
        <v>1</v>
      </c>
      <c r="G130" s="5" t="s">
        <v>2007</v>
      </c>
      <c r="H130" s="5" t="s">
        <v>2008</v>
      </c>
      <c r="I130" s="5" t="s">
        <v>2009</v>
      </c>
      <c r="J130" s="5" t="s">
        <v>2010</v>
      </c>
      <c r="K130" s="5" t="s">
        <v>2011</v>
      </c>
      <c r="L130" s="5" t="s">
        <v>108</v>
      </c>
      <c r="M130" s="5">
        <v>4</v>
      </c>
      <c r="N130" s="5" t="s">
        <v>2012</v>
      </c>
      <c r="O130" s="5" t="s">
        <v>2013</v>
      </c>
    </row>
    <row r="131" spans="1:15" ht="41.4">
      <c r="A131" s="5" t="s">
        <v>2224</v>
      </c>
      <c r="B131" s="5" t="s">
        <v>1374</v>
      </c>
      <c r="C131" s="5" t="s">
        <v>154</v>
      </c>
      <c r="D131" s="5" t="s">
        <v>2006</v>
      </c>
      <c r="E131" s="5" t="s">
        <v>1395</v>
      </c>
      <c r="F131" s="5">
        <v>2</v>
      </c>
      <c r="G131" s="5" t="s">
        <v>2021</v>
      </c>
      <c r="H131" s="5" t="s">
        <v>2022</v>
      </c>
      <c r="I131" s="5" t="s">
        <v>2225</v>
      </c>
      <c r="J131" s="5" t="s">
        <v>2018</v>
      </c>
      <c r="K131" s="5" t="s">
        <v>2011</v>
      </c>
      <c r="L131" s="5" t="s">
        <v>108</v>
      </c>
      <c r="M131" s="5">
        <v>4</v>
      </c>
      <c r="N131" s="5" t="s">
        <v>2012</v>
      </c>
      <c r="O131" s="5" t="s">
        <v>2013</v>
      </c>
    </row>
    <row r="132" spans="1:15" ht="179.4">
      <c r="A132" s="5" t="s">
        <v>2226</v>
      </c>
      <c r="B132" s="5" t="s">
        <v>1374</v>
      </c>
      <c r="C132" s="5" t="s">
        <v>530</v>
      </c>
      <c r="D132" s="5" t="s">
        <v>2006</v>
      </c>
      <c r="E132" s="5" t="s">
        <v>1385</v>
      </c>
      <c r="F132" s="5">
        <v>1</v>
      </c>
      <c r="G132" s="5" t="s">
        <v>2007</v>
      </c>
      <c r="H132" s="5" t="s">
        <v>2091</v>
      </c>
      <c r="I132" s="5" t="s">
        <v>2092</v>
      </c>
      <c r="J132" s="5" t="s">
        <v>2093</v>
      </c>
      <c r="K132" s="5" t="s">
        <v>2011</v>
      </c>
      <c r="L132" s="5" t="s">
        <v>108</v>
      </c>
      <c r="M132" s="5">
        <v>4</v>
      </c>
      <c r="N132" s="5" t="s">
        <v>2012</v>
      </c>
      <c r="O132" s="5" t="s">
        <v>2013</v>
      </c>
    </row>
    <row r="133" spans="1:15" ht="41.4">
      <c r="A133" s="5" t="s">
        <v>2227</v>
      </c>
      <c r="B133" s="5" t="s">
        <v>1374</v>
      </c>
      <c r="C133" s="5" t="s">
        <v>152</v>
      </c>
      <c r="D133" s="5" t="s">
        <v>2025</v>
      </c>
      <c r="E133" s="5" t="s">
        <v>2228</v>
      </c>
      <c r="F133" s="5">
        <v>1</v>
      </c>
      <c r="G133" s="5" t="s">
        <v>2007</v>
      </c>
      <c r="H133" s="5" t="s">
        <v>2008</v>
      </c>
      <c r="I133" s="5" t="s">
        <v>2027</v>
      </c>
      <c r="J133" s="5" t="s">
        <v>2010</v>
      </c>
      <c r="K133" s="5" t="s">
        <v>2011</v>
      </c>
      <c r="L133" s="5" t="s">
        <v>108</v>
      </c>
      <c r="M133" s="5">
        <v>4</v>
      </c>
      <c r="N133" s="5" t="s">
        <v>2012</v>
      </c>
      <c r="O133" s="5" t="s">
        <v>2013</v>
      </c>
    </row>
    <row r="134" spans="1:15" ht="82.8">
      <c r="A134" s="5" t="s">
        <v>2229</v>
      </c>
      <c r="B134" s="5" t="s">
        <v>1401</v>
      </c>
      <c r="C134" s="5" t="s">
        <v>154</v>
      </c>
      <c r="D134" s="5" t="s">
        <v>2006</v>
      </c>
      <c r="E134" s="5" t="s">
        <v>1427</v>
      </c>
      <c r="F134" s="5">
        <v>2</v>
      </c>
      <c r="G134" s="5" t="s">
        <v>2021</v>
      </c>
      <c r="H134" s="5" t="s">
        <v>2022</v>
      </c>
      <c r="I134" s="5" t="s">
        <v>2106</v>
      </c>
      <c r="J134" s="5" t="s">
        <v>2018</v>
      </c>
      <c r="K134" s="5" t="s">
        <v>2011</v>
      </c>
      <c r="L134" s="5" t="s">
        <v>108</v>
      </c>
      <c r="M134" s="5">
        <v>4</v>
      </c>
      <c r="N134" s="5" t="s">
        <v>2012</v>
      </c>
      <c r="O134" s="5" t="s">
        <v>2013</v>
      </c>
    </row>
    <row r="135" spans="1:15" ht="138">
      <c r="A135" s="5" t="s">
        <v>2230</v>
      </c>
      <c r="B135" s="5" t="s">
        <v>1401</v>
      </c>
      <c r="C135" s="5" t="s">
        <v>194</v>
      </c>
      <c r="D135" s="5" t="s">
        <v>2006</v>
      </c>
      <c r="E135" s="5" t="s">
        <v>1428</v>
      </c>
      <c r="F135" s="5">
        <v>1</v>
      </c>
      <c r="G135" s="5" t="s">
        <v>2007</v>
      </c>
      <c r="H135" s="5" t="s">
        <v>2029</v>
      </c>
      <c r="I135" s="5" t="s">
        <v>2030</v>
      </c>
      <c r="J135" s="5" t="s">
        <v>2031</v>
      </c>
      <c r="K135" s="5" t="s">
        <v>2011</v>
      </c>
      <c r="L135" s="5" t="s">
        <v>108</v>
      </c>
      <c r="M135" s="5">
        <v>4</v>
      </c>
      <c r="N135" s="5" t="s">
        <v>2012</v>
      </c>
      <c r="O135" s="5" t="s">
        <v>2013</v>
      </c>
    </row>
    <row r="136" spans="1:15" ht="41.4">
      <c r="A136" s="5" t="s">
        <v>2231</v>
      </c>
      <c r="B136" s="5" t="s">
        <v>1401</v>
      </c>
      <c r="C136" s="5" t="s">
        <v>152</v>
      </c>
      <c r="D136" s="5" t="s">
        <v>2006</v>
      </c>
      <c r="E136" s="5" t="s">
        <v>2232</v>
      </c>
      <c r="F136" s="5">
        <v>12</v>
      </c>
      <c r="G136" s="5" t="s">
        <v>2021</v>
      </c>
      <c r="H136" s="5" t="s">
        <v>2008</v>
      </c>
      <c r="I136" s="5" t="s">
        <v>2033</v>
      </c>
      <c r="J136" s="5" t="s">
        <v>2010</v>
      </c>
      <c r="K136" s="5" t="s">
        <v>2011</v>
      </c>
      <c r="L136" s="5" t="s">
        <v>108</v>
      </c>
      <c r="M136" s="5">
        <v>4</v>
      </c>
      <c r="N136" s="5" t="s">
        <v>2012</v>
      </c>
      <c r="O136" s="5" t="s">
        <v>2013</v>
      </c>
    </row>
    <row r="137" spans="1:15" ht="69">
      <c r="A137" s="5" t="s">
        <v>2233</v>
      </c>
      <c r="B137" s="5" t="s">
        <v>1401</v>
      </c>
      <c r="C137" s="5" t="s">
        <v>154</v>
      </c>
      <c r="D137" s="5" t="s">
        <v>2025</v>
      </c>
      <c r="E137" s="5" t="s">
        <v>2234</v>
      </c>
      <c r="F137" s="5">
        <v>2</v>
      </c>
      <c r="G137" s="5" t="s">
        <v>2021</v>
      </c>
      <c r="H137" s="5" t="s">
        <v>2022</v>
      </c>
      <c r="I137" s="5" t="s">
        <v>2027</v>
      </c>
      <c r="J137" s="5" t="s">
        <v>2018</v>
      </c>
      <c r="K137" s="5" t="s">
        <v>2011</v>
      </c>
      <c r="L137" s="5" t="s">
        <v>108</v>
      </c>
      <c r="M137" s="5">
        <v>4</v>
      </c>
      <c r="N137" s="5" t="s">
        <v>2012</v>
      </c>
      <c r="O137" s="5" t="s">
        <v>2013</v>
      </c>
    </row>
    <row r="138" spans="1:15" ht="82.8">
      <c r="A138" s="5" t="s">
        <v>2235</v>
      </c>
      <c r="B138" s="5" t="s">
        <v>1433</v>
      </c>
      <c r="C138" s="5" t="s">
        <v>152</v>
      </c>
      <c r="D138" s="5" t="s">
        <v>2006</v>
      </c>
      <c r="E138" s="5" t="s">
        <v>1462</v>
      </c>
      <c r="F138" s="5">
        <v>1</v>
      </c>
      <c r="G138" s="5" t="s">
        <v>2015</v>
      </c>
      <c r="H138" s="5" t="s">
        <v>2008</v>
      </c>
      <c r="I138" s="5" t="s">
        <v>2033</v>
      </c>
      <c r="J138" s="5" t="s">
        <v>2010</v>
      </c>
      <c r="K138" s="5" t="s">
        <v>2011</v>
      </c>
      <c r="L138" s="5" t="s">
        <v>108</v>
      </c>
      <c r="M138" s="5">
        <v>4</v>
      </c>
      <c r="N138" s="5" t="s">
        <v>2012</v>
      </c>
      <c r="O138" s="5" t="s">
        <v>2013</v>
      </c>
    </row>
    <row r="139" spans="1:15" ht="55.2">
      <c r="A139" s="5" t="s">
        <v>2236</v>
      </c>
      <c r="B139" s="5" t="s">
        <v>1433</v>
      </c>
      <c r="C139" s="5" t="s">
        <v>711</v>
      </c>
      <c r="D139" s="5" t="s">
        <v>2006</v>
      </c>
      <c r="E139" s="5" t="s">
        <v>1460</v>
      </c>
      <c r="F139" s="5">
        <v>2</v>
      </c>
      <c r="G139" s="5" t="s">
        <v>2015</v>
      </c>
      <c r="H139" s="5" t="s">
        <v>2237</v>
      </c>
      <c r="I139" s="5" t="s">
        <v>2238</v>
      </c>
      <c r="J139" s="5" t="s">
        <v>2018</v>
      </c>
      <c r="K139" s="5" t="s">
        <v>2011</v>
      </c>
      <c r="L139" s="5" t="s">
        <v>108</v>
      </c>
      <c r="M139" s="5">
        <v>4</v>
      </c>
      <c r="N139" s="5" t="s">
        <v>2012</v>
      </c>
      <c r="O139" s="5" t="s">
        <v>2013</v>
      </c>
    </row>
    <row r="140" spans="1:15" ht="69">
      <c r="A140" s="5" t="s">
        <v>2239</v>
      </c>
      <c r="B140" s="5" t="s">
        <v>1433</v>
      </c>
      <c r="C140" s="5" t="s">
        <v>155</v>
      </c>
      <c r="D140" s="5" t="s">
        <v>2006</v>
      </c>
      <c r="E140" s="5" t="s">
        <v>1458</v>
      </c>
      <c r="F140" s="5">
        <v>7</v>
      </c>
      <c r="G140" s="5" t="s">
        <v>2015</v>
      </c>
      <c r="H140" s="5" t="s">
        <v>2062</v>
      </c>
      <c r="I140" s="5" t="s">
        <v>2071</v>
      </c>
      <c r="J140" s="5" t="s">
        <v>2018</v>
      </c>
      <c r="K140" s="5" t="s">
        <v>2011</v>
      </c>
      <c r="L140" s="5" t="s">
        <v>108</v>
      </c>
      <c r="M140" s="5">
        <v>4</v>
      </c>
      <c r="N140" s="5" t="s">
        <v>2012</v>
      </c>
      <c r="O140" s="5" t="s">
        <v>2013</v>
      </c>
    </row>
    <row r="141" spans="1:15" ht="82.8">
      <c r="A141" s="5" t="s">
        <v>2240</v>
      </c>
      <c r="B141" s="5" t="s">
        <v>1433</v>
      </c>
      <c r="C141" s="5" t="s">
        <v>152</v>
      </c>
      <c r="D141" s="5" t="s">
        <v>2025</v>
      </c>
      <c r="E141" s="5" t="s">
        <v>1462</v>
      </c>
      <c r="F141" s="5">
        <v>1</v>
      </c>
      <c r="G141" s="5" t="s">
        <v>2015</v>
      </c>
      <c r="H141" s="5" t="s">
        <v>2008</v>
      </c>
      <c r="I141" s="5" t="s">
        <v>2027</v>
      </c>
      <c r="J141" s="5" t="s">
        <v>2010</v>
      </c>
      <c r="K141" s="5" t="s">
        <v>2011</v>
      </c>
      <c r="L141" s="5" t="s">
        <v>108</v>
      </c>
      <c r="M141" s="5">
        <v>4</v>
      </c>
      <c r="N141" s="5" t="s">
        <v>2012</v>
      </c>
      <c r="O141" s="5" t="s">
        <v>2013</v>
      </c>
    </row>
    <row r="142" spans="1:15" ht="262.2">
      <c r="A142" s="5" t="s">
        <v>2241</v>
      </c>
      <c r="B142" s="5" t="s">
        <v>1468</v>
      </c>
      <c r="C142" s="5" t="s">
        <v>152</v>
      </c>
      <c r="D142" s="5" t="s">
        <v>2006</v>
      </c>
      <c r="E142" s="5" t="s">
        <v>1497</v>
      </c>
      <c r="F142" s="5">
        <v>1</v>
      </c>
      <c r="G142" s="5" t="s">
        <v>2007</v>
      </c>
      <c r="H142" s="5" t="s">
        <v>2008</v>
      </c>
      <c r="I142" s="5" t="s">
        <v>2009</v>
      </c>
      <c r="J142" s="5" t="s">
        <v>2010</v>
      </c>
      <c r="K142" s="5" t="s">
        <v>2011</v>
      </c>
      <c r="L142" s="5" t="s">
        <v>108</v>
      </c>
      <c r="M142" s="5">
        <v>4</v>
      </c>
      <c r="N142" s="5" t="s">
        <v>2012</v>
      </c>
      <c r="O142" s="5" t="s">
        <v>2013</v>
      </c>
    </row>
    <row r="143" spans="1:15" ht="69">
      <c r="A143" s="5" t="s">
        <v>2242</v>
      </c>
      <c r="B143" s="5" t="s">
        <v>1468</v>
      </c>
      <c r="C143" s="5" t="s">
        <v>155</v>
      </c>
      <c r="D143" s="5" t="s">
        <v>2006</v>
      </c>
      <c r="E143" s="5" t="s">
        <v>1494</v>
      </c>
      <c r="F143" s="5">
        <v>1</v>
      </c>
      <c r="G143" s="5" t="s">
        <v>2007</v>
      </c>
      <c r="H143" s="5" t="s">
        <v>2062</v>
      </c>
      <c r="I143" s="5" t="s">
        <v>2071</v>
      </c>
      <c r="J143" s="5" t="s">
        <v>2018</v>
      </c>
      <c r="K143" s="5" t="s">
        <v>2011</v>
      </c>
      <c r="L143" s="5" t="s">
        <v>108</v>
      </c>
      <c r="M143" s="5">
        <v>4</v>
      </c>
      <c r="N143" s="5" t="s">
        <v>2012</v>
      </c>
      <c r="O143" s="5" t="s">
        <v>2013</v>
      </c>
    </row>
    <row r="144" spans="1:15" ht="55.2">
      <c r="A144" s="5" t="s">
        <v>2243</v>
      </c>
      <c r="B144" s="5" t="s">
        <v>1468</v>
      </c>
      <c r="C144" s="5" t="s">
        <v>418</v>
      </c>
      <c r="D144" s="5" t="s">
        <v>2006</v>
      </c>
      <c r="E144" s="5" t="s">
        <v>2244</v>
      </c>
      <c r="F144" s="5">
        <v>1</v>
      </c>
      <c r="G144" s="5" t="s">
        <v>2007</v>
      </c>
      <c r="H144" s="5" t="s">
        <v>2245</v>
      </c>
      <c r="I144" s="5" t="s">
        <v>2246</v>
      </c>
      <c r="J144" s="5" t="s">
        <v>2247</v>
      </c>
      <c r="K144" s="5" t="s">
        <v>2011</v>
      </c>
      <c r="L144" s="5" t="s">
        <v>108</v>
      </c>
      <c r="M144" s="5">
        <v>4</v>
      </c>
      <c r="N144" s="5" t="s">
        <v>2012</v>
      </c>
      <c r="O144" s="5" t="s">
        <v>2013</v>
      </c>
    </row>
    <row r="145" spans="1:15" ht="55.2">
      <c r="A145" s="5" t="s">
        <v>2248</v>
      </c>
      <c r="B145" s="5" t="s">
        <v>1468</v>
      </c>
      <c r="C145" s="5" t="s">
        <v>152</v>
      </c>
      <c r="D145" s="5" t="s">
        <v>2025</v>
      </c>
      <c r="E145" s="5" t="s">
        <v>1487</v>
      </c>
      <c r="F145" s="5">
        <v>1</v>
      </c>
      <c r="G145" s="5" t="s">
        <v>2007</v>
      </c>
      <c r="H145" s="5" t="s">
        <v>2008</v>
      </c>
      <c r="I145" s="5" t="s">
        <v>2027</v>
      </c>
      <c r="J145" s="5" t="s">
        <v>2010</v>
      </c>
      <c r="K145" s="5" t="s">
        <v>2011</v>
      </c>
      <c r="L145" s="5" t="s">
        <v>108</v>
      </c>
      <c r="M145" s="5">
        <v>4</v>
      </c>
      <c r="N145" s="5" t="s">
        <v>2012</v>
      </c>
      <c r="O145" s="5" t="s">
        <v>2013</v>
      </c>
    </row>
    <row r="146" spans="1:15" ht="69">
      <c r="A146" s="5" t="s">
        <v>2249</v>
      </c>
      <c r="B146" s="5" t="s">
        <v>1503</v>
      </c>
      <c r="C146" s="5" t="s">
        <v>155</v>
      </c>
      <c r="D146" s="5" t="s">
        <v>2006</v>
      </c>
      <c r="E146" s="5" t="s">
        <v>1529</v>
      </c>
      <c r="F146" s="5">
        <v>2</v>
      </c>
      <c r="G146" s="5" t="s">
        <v>2021</v>
      </c>
      <c r="H146" s="5" t="s">
        <v>2062</v>
      </c>
      <c r="I146" s="5" t="s">
        <v>2136</v>
      </c>
      <c r="J146" s="5" t="s">
        <v>2018</v>
      </c>
      <c r="K146" s="5" t="s">
        <v>2011</v>
      </c>
      <c r="L146" s="5" t="s">
        <v>108</v>
      </c>
      <c r="M146" s="5">
        <v>4</v>
      </c>
      <c r="N146" s="5" t="s">
        <v>2012</v>
      </c>
      <c r="O146" s="5" t="s">
        <v>2013</v>
      </c>
    </row>
    <row r="147" spans="1:15" ht="69">
      <c r="A147" s="5" t="s">
        <v>2250</v>
      </c>
      <c r="B147" s="5" t="s">
        <v>1503</v>
      </c>
      <c r="C147" s="5" t="s">
        <v>251</v>
      </c>
      <c r="D147" s="5" t="s">
        <v>2006</v>
      </c>
      <c r="E147" s="5" t="s">
        <v>1530</v>
      </c>
      <c r="F147" s="5">
        <v>2</v>
      </c>
      <c r="G147" s="5" t="s">
        <v>2021</v>
      </c>
      <c r="H147" s="5" t="s">
        <v>2044</v>
      </c>
      <c r="I147" s="5" t="s">
        <v>2045</v>
      </c>
      <c r="J147" s="5" t="s">
        <v>2018</v>
      </c>
      <c r="K147" s="5" t="s">
        <v>2011</v>
      </c>
      <c r="L147" s="5" t="s">
        <v>108</v>
      </c>
      <c r="M147" s="5">
        <v>4</v>
      </c>
      <c r="N147" s="5" t="s">
        <v>2012</v>
      </c>
      <c r="O147" s="5" t="s">
        <v>2013</v>
      </c>
    </row>
    <row r="148" spans="1:15" ht="55.2">
      <c r="A148" s="5" t="s">
        <v>2251</v>
      </c>
      <c r="B148" s="5" t="s">
        <v>1503</v>
      </c>
      <c r="C148" s="5" t="s">
        <v>154</v>
      </c>
      <c r="D148" s="5" t="s">
        <v>2006</v>
      </c>
      <c r="E148" s="5" t="s">
        <v>2252</v>
      </c>
      <c r="F148" s="5">
        <v>1</v>
      </c>
      <c r="G148" s="5" t="s">
        <v>2007</v>
      </c>
      <c r="H148" s="5" t="s">
        <v>2022</v>
      </c>
      <c r="I148" s="5" t="s">
        <v>2253</v>
      </c>
      <c r="J148" s="5" t="s">
        <v>2018</v>
      </c>
      <c r="K148" s="5" t="s">
        <v>2011</v>
      </c>
      <c r="L148" s="5" t="s">
        <v>108</v>
      </c>
      <c r="M148" s="5">
        <v>4</v>
      </c>
      <c r="N148" s="5" t="s">
        <v>2012</v>
      </c>
      <c r="O148" s="5" t="s">
        <v>2013</v>
      </c>
    </row>
    <row r="149" spans="1:15" ht="110.4">
      <c r="A149" s="5" t="s">
        <v>2254</v>
      </c>
      <c r="B149" s="5" t="s">
        <v>1503</v>
      </c>
      <c r="C149" s="5" t="s">
        <v>155</v>
      </c>
      <c r="D149" s="5" t="s">
        <v>2025</v>
      </c>
      <c r="E149" s="5" t="s">
        <v>1516</v>
      </c>
      <c r="F149" s="5">
        <v>1</v>
      </c>
      <c r="G149" s="5" t="s">
        <v>2007</v>
      </c>
      <c r="H149" s="5" t="s">
        <v>2062</v>
      </c>
      <c r="I149" s="5" t="s">
        <v>2027</v>
      </c>
      <c r="J149" s="5" t="s">
        <v>2018</v>
      </c>
      <c r="K149" s="5" t="s">
        <v>2011</v>
      </c>
      <c r="L149" s="5" t="s">
        <v>108</v>
      </c>
      <c r="M149" s="5">
        <v>4</v>
      </c>
      <c r="N149" s="5" t="s">
        <v>2012</v>
      </c>
      <c r="O149" s="5" t="s">
        <v>2013</v>
      </c>
    </row>
    <row r="150" spans="1:15" ht="82.8">
      <c r="A150" s="5" t="s">
        <v>2255</v>
      </c>
      <c r="B150" s="5" t="s">
        <v>1536</v>
      </c>
      <c r="C150" s="5" t="s">
        <v>152</v>
      </c>
      <c r="D150" s="5" t="s">
        <v>2006</v>
      </c>
      <c r="E150" s="5" t="s">
        <v>1562</v>
      </c>
      <c r="F150" s="5">
        <v>1</v>
      </c>
      <c r="G150" s="5" t="s">
        <v>2007</v>
      </c>
      <c r="H150" s="5" t="s">
        <v>2008</v>
      </c>
      <c r="I150" s="5" t="s">
        <v>2033</v>
      </c>
      <c r="J150" s="5" t="s">
        <v>2010</v>
      </c>
      <c r="K150" s="5" t="s">
        <v>2011</v>
      </c>
      <c r="L150" s="5" t="s">
        <v>108</v>
      </c>
      <c r="M150" s="5">
        <v>4</v>
      </c>
      <c r="N150" s="5" t="s">
        <v>2012</v>
      </c>
      <c r="O150" s="5" t="s">
        <v>2013</v>
      </c>
    </row>
    <row r="151" spans="1:15" ht="69">
      <c r="A151" s="5" t="s">
        <v>2256</v>
      </c>
      <c r="B151" s="5" t="s">
        <v>1536</v>
      </c>
      <c r="C151" s="5" t="s">
        <v>154</v>
      </c>
      <c r="D151" s="5" t="s">
        <v>2006</v>
      </c>
      <c r="E151" s="5" t="s">
        <v>1565</v>
      </c>
      <c r="F151" s="5">
        <v>6</v>
      </c>
      <c r="G151" s="5" t="s">
        <v>2039</v>
      </c>
      <c r="H151" s="5" t="s">
        <v>2022</v>
      </c>
      <c r="I151" s="5" t="s">
        <v>2023</v>
      </c>
      <c r="J151" s="5" t="s">
        <v>2018</v>
      </c>
      <c r="K151" s="5" t="s">
        <v>2011</v>
      </c>
      <c r="L151" s="5" t="s">
        <v>108</v>
      </c>
      <c r="M151" s="5">
        <v>4</v>
      </c>
      <c r="N151" s="5" t="s">
        <v>2012</v>
      </c>
      <c r="O151" s="5" t="s">
        <v>2013</v>
      </c>
    </row>
    <row r="152" spans="1:15" ht="69">
      <c r="A152" s="5" t="s">
        <v>2257</v>
      </c>
      <c r="B152" s="5" t="s">
        <v>1536</v>
      </c>
      <c r="C152" s="5" t="s">
        <v>155</v>
      </c>
      <c r="D152" s="5" t="s">
        <v>2006</v>
      </c>
      <c r="E152" s="5" t="s">
        <v>1561</v>
      </c>
      <c r="F152" s="5">
        <v>1</v>
      </c>
      <c r="G152" s="5" t="s">
        <v>2007</v>
      </c>
      <c r="H152" s="5" t="s">
        <v>2062</v>
      </c>
      <c r="I152" s="5" t="s">
        <v>2071</v>
      </c>
      <c r="J152" s="5" t="s">
        <v>2018</v>
      </c>
      <c r="K152" s="5" t="s">
        <v>2011</v>
      </c>
      <c r="L152" s="5" t="s">
        <v>108</v>
      </c>
      <c r="M152" s="5">
        <v>4</v>
      </c>
      <c r="N152" s="5" t="s">
        <v>2012</v>
      </c>
      <c r="O152" s="5" t="s">
        <v>2013</v>
      </c>
    </row>
    <row r="153" spans="1:15" ht="41.4">
      <c r="A153" s="5" t="s">
        <v>2258</v>
      </c>
      <c r="B153" s="5" t="s">
        <v>1536</v>
      </c>
      <c r="C153" s="5" t="s">
        <v>152</v>
      </c>
      <c r="D153" s="5" t="s">
        <v>2025</v>
      </c>
      <c r="E153" s="5" t="s">
        <v>1553</v>
      </c>
      <c r="F153" s="5">
        <v>1</v>
      </c>
      <c r="G153" s="5" t="s">
        <v>2007</v>
      </c>
      <c r="H153" s="5" t="s">
        <v>2008</v>
      </c>
      <c r="I153" s="5" t="s">
        <v>2027</v>
      </c>
      <c r="J153" s="5" t="s">
        <v>2010</v>
      </c>
      <c r="K153" s="5" t="s">
        <v>2011</v>
      </c>
      <c r="L153" s="5" t="s">
        <v>108</v>
      </c>
      <c r="M153" s="5">
        <v>4</v>
      </c>
      <c r="N153" s="5" t="s">
        <v>2012</v>
      </c>
      <c r="O153" s="5" t="s">
        <v>2013</v>
      </c>
    </row>
    <row r="154" spans="1:15" ht="69">
      <c r="A154" s="5" t="s">
        <v>2259</v>
      </c>
      <c r="B154" s="5" t="s">
        <v>1570</v>
      </c>
      <c r="C154" s="5" t="s">
        <v>154</v>
      </c>
      <c r="D154" s="5" t="s">
        <v>2006</v>
      </c>
      <c r="E154" s="5" t="s">
        <v>1600</v>
      </c>
      <c r="F154" s="5">
        <v>4</v>
      </c>
      <c r="G154" s="5" t="s">
        <v>2049</v>
      </c>
      <c r="H154" s="5" t="s">
        <v>2022</v>
      </c>
      <c r="I154" s="5" t="s">
        <v>2023</v>
      </c>
      <c r="J154" s="5" t="s">
        <v>2018</v>
      </c>
      <c r="K154" s="5" t="s">
        <v>2011</v>
      </c>
      <c r="L154" s="5" t="s">
        <v>108</v>
      </c>
      <c r="M154" s="5">
        <v>4</v>
      </c>
      <c r="N154" s="5" t="s">
        <v>2012</v>
      </c>
      <c r="O154" s="5" t="s">
        <v>2013</v>
      </c>
    </row>
    <row r="155" spans="1:15" ht="82.8">
      <c r="A155" s="5" t="s">
        <v>2260</v>
      </c>
      <c r="B155" s="5" t="s">
        <v>1570</v>
      </c>
      <c r="C155" s="5" t="s">
        <v>152</v>
      </c>
      <c r="D155" s="5" t="s">
        <v>2006</v>
      </c>
      <c r="E155" s="5" t="s">
        <v>1597</v>
      </c>
      <c r="F155" s="5">
        <v>1</v>
      </c>
      <c r="G155" s="5" t="s">
        <v>2007</v>
      </c>
      <c r="H155" s="5" t="s">
        <v>2008</v>
      </c>
      <c r="I155" s="5" t="s">
        <v>2033</v>
      </c>
      <c r="J155" s="5" t="s">
        <v>2010</v>
      </c>
      <c r="K155" s="5" t="s">
        <v>2011</v>
      </c>
      <c r="L155" s="5" t="s">
        <v>108</v>
      </c>
      <c r="M155" s="5">
        <v>4</v>
      </c>
      <c r="N155" s="5" t="s">
        <v>2012</v>
      </c>
      <c r="O155" s="5" t="s">
        <v>2013</v>
      </c>
    </row>
    <row r="156" spans="1:15" ht="69">
      <c r="A156" s="5" t="s">
        <v>2261</v>
      </c>
      <c r="B156" s="5" t="s">
        <v>1570</v>
      </c>
      <c r="C156" s="5" t="s">
        <v>194</v>
      </c>
      <c r="D156" s="5" t="s">
        <v>2006</v>
      </c>
      <c r="E156" s="5" t="s">
        <v>2262</v>
      </c>
      <c r="F156" s="5">
        <v>1</v>
      </c>
      <c r="G156" s="5" t="s">
        <v>2007</v>
      </c>
      <c r="H156" s="5" t="s">
        <v>2029</v>
      </c>
      <c r="I156" s="5" t="s">
        <v>2263</v>
      </c>
      <c r="J156" s="5" t="s">
        <v>2031</v>
      </c>
      <c r="K156" s="5" t="s">
        <v>2011</v>
      </c>
      <c r="L156" s="5" t="s">
        <v>108</v>
      </c>
      <c r="M156" s="5">
        <v>4</v>
      </c>
      <c r="N156" s="5" t="s">
        <v>2012</v>
      </c>
      <c r="O156" s="5" t="s">
        <v>2013</v>
      </c>
    </row>
    <row r="157" spans="1:15" ht="55.2">
      <c r="A157" s="5" t="s">
        <v>2264</v>
      </c>
      <c r="B157" s="5" t="s">
        <v>1570</v>
      </c>
      <c r="C157" s="5" t="s">
        <v>154</v>
      </c>
      <c r="D157" s="5" t="s">
        <v>2025</v>
      </c>
      <c r="E157" s="5" t="s">
        <v>2265</v>
      </c>
      <c r="F157" s="5">
        <v>1</v>
      </c>
      <c r="G157" s="5" t="s">
        <v>2007</v>
      </c>
      <c r="H157" s="5" t="s">
        <v>2022</v>
      </c>
      <c r="I157" s="5" t="s">
        <v>2027</v>
      </c>
      <c r="J157" s="5" t="s">
        <v>2018</v>
      </c>
      <c r="K157" s="5" t="s">
        <v>2011</v>
      </c>
      <c r="L157" s="5" t="s">
        <v>108</v>
      </c>
      <c r="M157" s="5">
        <v>4</v>
      </c>
      <c r="N157" s="5" t="s">
        <v>2012</v>
      </c>
      <c r="O157" s="5" t="s">
        <v>2013</v>
      </c>
    </row>
    <row r="158" spans="1:15" ht="55.2">
      <c r="A158" s="5" t="s">
        <v>2266</v>
      </c>
      <c r="B158" s="5" t="s">
        <v>1606</v>
      </c>
      <c r="C158" s="5" t="s">
        <v>152</v>
      </c>
      <c r="D158" s="5" t="s">
        <v>2006</v>
      </c>
      <c r="E158" s="5" t="s">
        <v>1634</v>
      </c>
      <c r="F158" s="5">
        <v>1</v>
      </c>
      <c r="G158" s="5" t="s">
        <v>2021</v>
      </c>
      <c r="H158" s="5" t="s">
        <v>2008</v>
      </c>
      <c r="I158" s="5" t="s">
        <v>2009</v>
      </c>
      <c r="J158" s="5" t="s">
        <v>2010</v>
      </c>
      <c r="K158" s="5" t="s">
        <v>2011</v>
      </c>
      <c r="L158" s="5" t="s">
        <v>108</v>
      </c>
      <c r="M158" s="5">
        <v>4</v>
      </c>
      <c r="N158" s="5" t="s">
        <v>2012</v>
      </c>
      <c r="O158" s="5" t="s">
        <v>2013</v>
      </c>
    </row>
    <row r="159" spans="1:15" ht="96.6">
      <c r="A159" s="5" t="s">
        <v>2267</v>
      </c>
      <c r="B159" s="5" t="s">
        <v>1606</v>
      </c>
      <c r="C159" s="5" t="s">
        <v>154</v>
      </c>
      <c r="D159" s="5" t="s">
        <v>2006</v>
      </c>
      <c r="E159" s="5" t="s">
        <v>1637</v>
      </c>
      <c r="F159" s="5">
        <v>7</v>
      </c>
      <c r="G159" s="5" t="s">
        <v>2021</v>
      </c>
      <c r="H159" s="5" t="s">
        <v>2022</v>
      </c>
      <c r="I159" s="5" t="s">
        <v>2023</v>
      </c>
      <c r="J159" s="5" t="s">
        <v>2018</v>
      </c>
      <c r="K159" s="5" t="s">
        <v>2011</v>
      </c>
      <c r="L159" s="5" t="s">
        <v>108</v>
      </c>
      <c r="M159" s="5">
        <v>4</v>
      </c>
      <c r="N159" s="5" t="s">
        <v>2012</v>
      </c>
      <c r="O159" s="5" t="s">
        <v>2013</v>
      </c>
    </row>
    <row r="160" spans="1:15" ht="41.4">
      <c r="A160" s="5" t="s">
        <v>2268</v>
      </c>
      <c r="B160" s="5" t="s">
        <v>1606</v>
      </c>
      <c r="C160" s="5" t="s">
        <v>252</v>
      </c>
      <c r="D160" s="5" t="s">
        <v>2006</v>
      </c>
      <c r="E160" s="5" t="s">
        <v>2269</v>
      </c>
      <c r="F160" s="5">
        <v>1</v>
      </c>
      <c r="G160" s="5" t="s">
        <v>2021</v>
      </c>
      <c r="H160" s="5" t="s">
        <v>2101</v>
      </c>
      <c r="I160" s="5" t="s">
        <v>2102</v>
      </c>
      <c r="J160" s="5" t="s">
        <v>2018</v>
      </c>
      <c r="K160" s="5" t="s">
        <v>2011</v>
      </c>
      <c r="L160" s="5" t="s">
        <v>108</v>
      </c>
      <c r="M160" s="5">
        <v>4</v>
      </c>
      <c r="N160" s="5" t="s">
        <v>2012</v>
      </c>
      <c r="O160" s="5" t="s">
        <v>2013</v>
      </c>
    </row>
    <row r="161" spans="1:15" ht="151.80000000000001">
      <c r="A161" s="5" t="s">
        <v>2270</v>
      </c>
      <c r="B161" s="5" t="s">
        <v>1606</v>
      </c>
      <c r="C161" s="5" t="s">
        <v>152</v>
      </c>
      <c r="D161" s="5" t="s">
        <v>2025</v>
      </c>
      <c r="E161" s="5" t="s">
        <v>1615</v>
      </c>
      <c r="F161" s="5">
        <v>1</v>
      </c>
      <c r="G161" s="5" t="s">
        <v>2021</v>
      </c>
      <c r="H161" s="5" t="s">
        <v>2008</v>
      </c>
      <c r="I161" s="5" t="s">
        <v>2027</v>
      </c>
      <c r="J161" s="5" t="s">
        <v>2010</v>
      </c>
      <c r="K161" s="5" t="s">
        <v>2011</v>
      </c>
      <c r="L161" s="5" t="s">
        <v>108</v>
      </c>
      <c r="M161" s="5">
        <v>4</v>
      </c>
      <c r="N161" s="5" t="s">
        <v>2012</v>
      </c>
      <c r="O161" s="5" t="s">
        <v>2013</v>
      </c>
    </row>
    <row r="162" spans="1:15" ht="124.2">
      <c r="A162" s="5" t="s">
        <v>2271</v>
      </c>
      <c r="B162" s="5" t="s">
        <v>1642</v>
      </c>
      <c r="C162" s="5" t="s">
        <v>152</v>
      </c>
      <c r="D162" s="5" t="s">
        <v>2006</v>
      </c>
      <c r="E162" s="5" t="s">
        <v>1652</v>
      </c>
      <c r="F162" s="5">
        <v>1</v>
      </c>
      <c r="G162" s="5" t="s">
        <v>2007</v>
      </c>
      <c r="H162" s="5" t="s">
        <v>2008</v>
      </c>
      <c r="I162" s="5" t="s">
        <v>2033</v>
      </c>
      <c r="J162" s="5" t="s">
        <v>2010</v>
      </c>
      <c r="K162" s="5" t="s">
        <v>2011</v>
      </c>
      <c r="L162" s="5" t="s">
        <v>108</v>
      </c>
      <c r="M162" s="5">
        <v>4</v>
      </c>
      <c r="N162" s="5" t="s">
        <v>2012</v>
      </c>
      <c r="O162" s="5" t="s">
        <v>2013</v>
      </c>
    </row>
    <row r="163" spans="1:15" ht="138">
      <c r="A163" s="5" t="s">
        <v>2272</v>
      </c>
      <c r="B163" s="5" t="s">
        <v>1642</v>
      </c>
      <c r="C163" s="5" t="s">
        <v>154</v>
      </c>
      <c r="D163" s="5" t="s">
        <v>2006</v>
      </c>
      <c r="E163" s="5" t="s">
        <v>1669</v>
      </c>
      <c r="F163" s="5">
        <v>7</v>
      </c>
      <c r="G163" s="5" t="s">
        <v>2049</v>
      </c>
      <c r="H163" s="5" t="s">
        <v>2022</v>
      </c>
      <c r="I163" s="5" t="s">
        <v>2023</v>
      </c>
      <c r="J163" s="5" t="s">
        <v>2018</v>
      </c>
      <c r="K163" s="5" t="s">
        <v>2011</v>
      </c>
      <c r="L163" s="5" t="s">
        <v>108</v>
      </c>
      <c r="M163" s="5">
        <v>4</v>
      </c>
      <c r="N163" s="5" t="s">
        <v>2012</v>
      </c>
      <c r="O163" s="5" t="s">
        <v>2013</v>
      </c>
    </row>
    <row r="164" spans="1:15" ht="138">
      <c r="A164" s="5" t="s">
        <v>2273</v>
      </c>
      <c r="B164" s="5" t="s">
        <v>1642</v>
      </c>
      <c r="C164" s="5" t="s">
        <v>530</v>
      </c>
      <c r="D164" s="5" t="s">
        <v>2006</v>
      </c>
      <c r="E164" s="5" t="s">
        <v>2274</v>
      </c>
      <c r="F164" s="5">
        <v>1</v>
      </c>
      <c r="G164" s="5" t="s">
        <v>2007</v>
      </c>
      <c r="H164" s="5" t="s">
        <v>2091</v>
      </c>
      <c r="I164" s="5" t="s">
        <v>2092</v>
      </c>
      <c r="J164" s="5" t="s">
        <v>2093</v>
      </c>
      <c r="K164" s="5" t="s">
        <v>2011</v>
      </c>
      <c r="L164" s="5" t="s">
        <v>108</v>
      </c>
      <c r="M164" s="5">
        <v>4</v>
      </c>
      <c r="N164" s="5" t="s">
        <v>2012</v>
      </c>
      <c r="O164" s="5" t="s">
        <v>2013</v>
      </c>
    </row>
    <row r="165" spans="1:15" ht="193.2">
      <c r="A165" s="5" t="s">
        <v>2275</v>
      </c>
      <c r="B165" s="5" t="s">
        <v>1642</v>
      </c>
      <c r="C165" s="5" t="s">
        <v>152</v>
      </c>
      <c r="D165" s="5" t="s">
        <v>2025</v>
      </c>
      <c r="E165" s="5" t="s">
        <v>2276</v>
      </c>
      <c r="F165" s="5">
        <v>2</v>
      </c>
      <c r="G165" s="5" t="s">
        <v>2021</v>
      </c>
      <c r="H165" s="5" t="s">
        <v>2008</v>
      </c>
      <c r="I165" s="5" t="s">
        <v>2027</v>
      </c>
      <c r="J165" s="5" t="s">
        <v>2010</v>
      </c>
      <c r="K165" s="5" t="s">
        <v>2011</v>
      </c>
      <c r="L165" s="5" t="s">
        <v>108</v>
      </c>
      <c r="M165" s="5">
        <v>4</v>
      </c>
      <c r="N165" s="5" t="s">
        <v>2012</v>
      </c>
      <c r="O165" s="5" t="s">
        <v>2013</v>
      </c>
    </row>
    <row r="166" spans="1:15" ht="41.4">
      <c r="A166" s="5" t="s">
        <v>2277</v>
      </c>
      <c r="B166" s="5" t="s">
        <v>1672</v>
      </c>
      <c r="C166" s="5" t="s">
        <v>154</v>
      </c>
      <c r="D166" s="5" t="s">
        <v>2006</v>
      </c>
      <c r="E166" s="5" t="s">
        <v>1700</v>
      </c>
      <c r="F166" s="5">
        <v>5</v>
      </c>
      <c r="G166" s="5" t="s">
        <v>2049</v>
      </c>
      <c r="H166" s="5" t="s">
        <v>2022</v>
      </c>
      <c r="I166" s="5" t="s">
        <v>2023</v>
      </c>
      <c r="J166" s="5" t="s">
        <v>2018</v>
      </c>
      <c r="K166" s="5" t="s">
        <v>2011</v>
      </c>
      <c r="L166" s="5" t="s">
        <v>108</v>
      </c>
      <c r="M166" s="5">
        <v>4</v>
      </c>
      <c r="N166" s="5" t="s">
        <v>2012</v>
      </c>
      <c r="O166" s="5" t="s">
        <v>2013</v>
      </c>
    </row>
    <row r="167" spans="1:15" ht="110.4">
      <c r="A167" s="5" t="s">
        <v>2278</v>
      </c>
      <c r="B167" s="5" t="s">
        <v>1672</v>
      </c>
      <c r="C167" s="5" t="s">
        <v>152</v>
      </c>
      <c r="D167" s="5" t="s">
        <v>2006</v>
      </c>
      <c r="E167" s="5" t="s">
        <v>1682</v>
      </c>
      <c r="F167" s="5">
        <v>1</v>
      </c>
      <c r="G167" s="5" t="s">
        <v>2007</v>
      </c>
      <c r="H167" s="5" t="s">
        <v>2008</v>
      </c>
      <c r="I167" s="5" t="s">
        <v>2033</v>
      </c>
      <c r="J167" s="5" t="s">
        <v>2010</v>
      </c>
      <c r="K167" s="5" t="s">
        <v>2011</v>
      </c>
      <c r="L167" s="5" t="s">
        <v>108</v>
      </c>
      <c r="M167" s="5">
        <v>4</v>
      </c>
      <c r="N167" s="5" t="s">
        <v>2012</v>
      </c>
      <c r="O167" s="5" t="s">
        <v>2013</v>
      </c>
    </row>
    <row r="168" spans="1:15" ht="41.4">
      <c r="A168" s="5" t="s">
        <v>2279</v>
      </c>
      <c r="B168" s="5" t="s">
        <v>1672</v>
      </c>
      <c r="C168" s="5" t="s">
        <v>1705</v>
      </c>
      <c r="D168" s="5" t="s">
        <v>2006</v>
      </c>
      <c r="E168" s="5" t="s">
        <v>1704</v>
      </c>
      <c r="F168" s="5">
        <v>1</v>
      </c>
      <c r="G168" s="5" t="s">
        <v>2007</v>
      </c>
      <c r="H168" s="5" t="s">
        <v>2280</v>
      </c>
      <c r="I168" s="5" t="s">
        <v>2281</v>
      </c>
      <c r="J168" s="5" t="s">
        <v>2018</v>
      </c>
      <c r="K168" s="5" t="s">
        <v>2011</v>
      </c>
      <c r="L168" s="5" t="s">
        <v>108</v>
      </c>
      <c r="M168" s="5">
        <v>4</v>
      </c>
      <c r="N168" s="5" t="s">
        <v>2012</v>
      </c>
      <c r="O168" s="5" t="s">
        <v>2013</v>
      </c>
    </row>
    <row r="169" spans="1:15" ht="82.8">
      <c r="A169" s="5" t="s">
        <v>2282</v>
      </c>
      <c r="B169" s="5" t="s">
        <v>1672</v>
      </c>
      <c r="C169" s="5" t="s">
        <v>154</v>
      </c>
      <c r="D169" s="5" t="s">
        <v>2025</v>
      </c>
      <c r="E169" s="5" t="s">
        <v>2283</v>
      </c>
      <c r="F169" s="5">
        <v>2</v>
      </c>
      <c r="G169" s="5" t="s">
        <v>2015</v>
      </c>
      <c r="H169" s="5" t="s">
        <v>2022</v>
      </c>
      <c r="I169" s="5" t="s">
        <v>2027</v>
      </c>
      <c r="J169" s="5" t="s">
        <v>2018</v>
      </c>
      <c r="K169" s="5" t="s">
        <v>2011</v>
      </c>
      <c r="L169" s="5" t="s">
        <v>108</v>
      </c>
      <c r="M169" s="5">
        <v>4</v>
      </c>
      <c r="N169" s="5" t="s">
        <v>2012</v>
      </c>
      <c r="O169" s="5" t="s">
        <v>2013</v>
      </c>
    </row>
    <row r="170" spans="1:15" ht="41.4">
      <c r="A170" s="5" t="s">
        <v>2284</v>
      </c>
      <c r="B170" s="5" t="s">
        <v>1707</v>
      </c>
      <c r="C170" s="5" t="s">
        <v>493</v>
      </c>
      <c r="D170" s="5" t="s">
        <v>2006</v>
      </c>
      <c r="E170" s="5" t="s">
        <v>1740</v>
      </c>
      <c r="F170" s="5">
        <v>3</v>
      </c>
      <c r="G170" s="5" t="s">
        <v>2039</v>
      </c>
      <c r="H170" s="5" t="s">
        <v>2085</v>
      </c>
      <c r="I170" s="5" t="s">
        <v>2086</v>
      </c>
      <c r="J170" s="5" t="s">
        <v>2018</v>
      </c>
      <c r="K170" s="5" t="s">
        <v>2011</v>
      </c>
      <c r="L170" s="5" t="s">
        <v>108</v>
      </c>
      <c r="M170" s="5">
        <v>4</v>
      </c>
      <c r="N170" s="5" t="s">
        <v>2012</v>
      </c>
      <c r="O170" s="5" t="s">
        <v>2013</v>
      </c>
    </row>
    <row r="171" spans="1:15" ht="96.6">
      <c r="A171" s="5" t="s">
        <v>2285</v>
      </c>
      <c r="B171" s="5" t="s">
        <v>1707</v>
      </c>
      <c r="C171" s="5" t="s">
        <v>154</v>
      </c>
      <c r="D171" s="5" t="s">
        <v>2006</v>
      </c>
      <c r="E171" s="5" t="s">
        <v>1741</v>
      </c>
      <c r="F171" s="5">
        <v>4</v>
      </c>
      <c r="G171" s="5" t="s">
        <v>2015</v>
      </c>
      <c r="H171" s="5" t="s">
        <v>2022</v>
      </c>
      <c r="I171" s="5" t="s">
        <v>2023</v>
      </c>
      <c r="J171" s="5" t="s">
        <v>2018</v>
      </c>
      <c r="K171" s="5" t="s">
        <v>2011</v>
      </c>
      <c r="L171" s="5" t="s">
        <v>108</v>
      </c>
      <c r="M171" s="5">
        <v>4</v>
      </c>
      <c r="N171" s="5" t="s">
        <v>2012</v>
      </c>
      <c r="O171" s="5" t="s">
        <v>2013</v>
      </c>
    </row>
    <row r="172" spans="1:15" ht="110.4">
      <c r="A172" s="5" t="s">
        <v>2286</v>
      </c>
      <c r="B172" s="5" t="s">
        <v>1707</v>
      </c>
      <c r="C172" s="5" t="s">
        <v>194</v>
      </c>
      <c r="D172" s="5" t="s">
        <v>2006</v>
      </c>
      <c r="E172" s="5" t="s">
        <v>1720</v>
      </c>
      <c r="F172" s="5">
        <v>1</v>
      </c>
      <c r="G172" s="5" t="s">
        <v>2007</v>
      </c>
      <c r="H172" s="5" t="s">
        <v>2029</v>
      </c>
      <c r="I172" s="5" t="s">
        <v>2287</v>
      </c>
      <c r="J172" s="5" t="s">
        <v>2031</v>
      </c>
      <c r="K172" s="5" t="s">
        <v>2011</v>
      </c>
      <c r="L172" s="5" t="s">
        <v>108</v>
      </c>
      <c r="M172" s="5">
        <v>4</v>
      </c>
      <c r="N172" s="5" t="s">
        <v>2012</v>
      </c>
      <c r="O172" s="5" t="s">
        <v>2013</v>
      </c>
    </row>
    <row r="173" spans="1:15" ht="96.6">
      <c r="A173" s="5" t="s">
        <v>2288</v>
      </c>
      <c r="B173" s="5" t="s">
        <v>1707</v>
      </c>
      <c r="C173" s="5" t="s">
        <v>493</v>
      </c>
      <c r="D173" s="5" t="s">
        <v>2025</v>
      </c>
      <c r="E173" s="5" t="s">
        <v>1728</v>
      </c>
      <c r="F173" s="5">
        <v>1</v>
      </c>
      <c r="G173" s="5" t="s">
        <v>2007</v>
      </c>
      <c r="H173" s="5" t="s">
        <v>2085</v>
      </c>
      <c r="I173" s="5" t="s">
        <v>2027</v>
      </c>
      <c r="J173" s="5" t="s">
        <v>2018</v>
      </c>
      <c r="K173" s="5" t="s">
        <v>2011</v>
      </c>
      <c r="L173" s="5" t="s">
        <v>108</v>
      </c>
      <c r="M173" s="5">
        <v>4</v>
      </c>
      <c r="N173" s="5" t="s">
        <v>2012</v>
      </c>
      <c r="O173" s="5" t="s">
        <v>2013</v>
      </c>
    </row>
    <row r="174" spans="1:15" ht="55.2">
      <c r="A174" s="5" t="s">
        <v>2289</v>
      </c>
      <c r="B174" s="5" t="s">
        <v>1747</v>
      </c>
      <c r="C174" s="5" t="s">
        <v>152</v>
      </c>
      <c r="D174" s="5" t="s">
        <v>2006</v>
      </c>
      <c r="E174" s="5" t="s">
        <v>1772</v>
      </c>
      <c r="F174" s="5">
        <v>2</v>
      </c>
      <c r="G174" s="5" t="s">
        <v>2021</v>
      </c>
      <c r="H174" s="5" t="s">
        <v>2008</v>
      </c>
      <c r="I174" s="5" t="s">
        <v>2009</v>
      </c>
      <c r="J174" s="5" t="s">
        <v>2010</v>
      </c>
      <c r="K174" s="5" t="s">
        <v>2011</v>
      </c>
      <c r="L174" s="5" t="s">
        <v>108</v>
      </c>
      <c r="M174" s="5">
        <v>4</v>
      </c>
      <c r="N174" s="5" t="s">
        <v>2012</v>
      </c>
      <c r="O174" s="5" t="s">
        <v>2013</v>
      </c>
    </row>
    <row r="175" spans="1:15" ht="96.6">
      <c r="A175" s="5" t="s">
        <v>2290</v>
      </c>
      <c r="B175" s="5" t="s">
        <v>1747</v>
      </c>
      <c r="C175" s="5" t="s">
        <v>155</v>
      </c>
      <c r="D175" s="5" t="s">
        <v>2006</v>
      </c>
      <c r="E175" s="5" t="s">
        <v>1771</v>
      </c>
      <c r="F175" s="5">
        <v>4</v>
      </c>
      <c r="G175" s="5" t="s">
        <v>2015</v>
      </c>
      <c r="H175" s="5" t="s">
        <v>2062</v>
      </c>
      <c r="I175" s="5" t="s">
        <v>2136</v>
      </c>
      <c r="J175" s="5" t="s">
        <v>2018</v>
      </c>
      <c r="K175" s="5" t="s">
        <v>2011</v>
      </c>
      <c r="L175" s="5" t="s">
        <v>108</v>
      </c>
      <c r="M175" s="5">
        <v>4</v>
      </c>
      <c r="N175" s="5" t="s">
        <v>2012</v>
      </c>
      <c r="O175" s="5" t="s">
        <v>2013</v>
      </c>
    </row>
    <row r="176" spans="1:15" ht="82.8">
      <c r="A176" s="5" t="s">
        <v>2291</v>
      </c>
      <c r="B176" s="5" t="s">
        <v>1747</v>
      </c>
      <c r="C176" s="5" t="s">
        <v>154</v>
      </c>
      <c r="D176" s="5" t="s">
        <v>2006</v>
      </c>
      <c r="E176" s="5" t="s">
        <v>2292</v>
      </c>
      <c r="F176" s="5">
        <v>4</v>
      </c>
      <c r="G176" s="5" t="s">
        <v>2015</v>
      </c>
      <c r="H176" s="5" t="s">
        <v>2022</v>
      </c>
      <c r="I176" s="5" t="s">
        <v>2253</v>
      </c>
      <c r="J176" s="5" t="s">
        <v>2018</v>
      </c>
      <c r="K176" s="5" t="s">
        <v>2011</v>
      </c>
      <c r="L176" s="5" t="s">
        <v>108</v>
      </c>
      <c r="M176" s="5">
        <v>4</v>
      </c>
      <c r="N176" s="5" t="s">
        <v>2012</v>
      </c>
      <c r="O176" s="5" t="s">
        <v>2013</v>
      </c>
    </row>
    <row r="177" spans="1:15" ht="110.4">
      <c r="A177" s="5" t="s">
        <v>2293</v>
      </c>
      <c r="B177" s="5" t="s">
        <v>1747</v>
      </c>
      <c r="C177" s="5" t="s">
        <v>152</v>
      </c>
      <c r="D177" s="5" t="s">
        <v>2025</v>
      </c>
      <c r="E177" s="5" t="s">
        <v>1760</v>
      </c>
      <c r="F177" s="5">
        <v>1</v>
      </c>
      <c r="G177" s="5" t="s">
        <v>2007</v>
      </c>
      <c r="H177" s="5" t="s">
        <v>2008</v>
      </c>
      <c r="I177" s="5" t="s">
        <v>2027</v>
      </c>
      <c r="J177" s="5" t="s">
        <v>2010</v>
      </c>
      <c r="K177" s="5" t="s">
        <v>2011</v>
      </c>
      <c r="L177" s="5" t="s">
        <v>108</v>
      </c>
      <c r="M177" s="5">
        <v>4</v>
      </c>
      <c r="N177" s="5" t="s">
        <v>2012</v>
      </c>
      <c r="O177" s="5" t="s">
        <v>2013</v>
      </c>
    </row>
    <row r="178" spans="1:15" ht="69">
      <c r="A178" s="5" t="s">
        <v>2294</v>
      </c>
      <c r="B178" s="5" t="s">
        <v>1780</v>
      </c>
      <c r="C178" s="5" t="s">
        <v>154</v>
      </c>
      <c r="D178" s="5" t="s">
        <v>2006</v>
      </c>
      <c r="E178" s="5" t="s">
        <v>1807</v>
      </c>
      <c r="F178" s="5">
        <v>1</v>
      </c>
      <c r="G178" s="5" t="s">
        <v>2007</v>
      </c>
      <c r="H178" s="5" t="s">
        <v>2022</v>
      </c>
      <c r="I178" s="5" t="s">
        <v>2023</v>
      </c>
      <c r="J178" s="5" t="s">
        <v>2018</v>
      </c>
      <c r="K178" s="5" t="s">
        <v>2011</v>
      </c>
      <c r="L178" s="5" t="s">
        <v>108</v>
      </c>
      <c r="M178" s="5">
        <v>4</v>
      </c>
      <c r="N178" s="5" t="s">
        <v>2012</v>
      </c>
      <c r="O178" s="5" t="s">
        <v>2013</v>
      </c>
    </row>
    <row r="179" spans="1:15" ht="110.4">
      <c r="A179" s="5" t="s">
        <v>2295</v>
      </c>
      <c r="B179" s="5" t="s">
        <v>1780</v>
      </c>
      <c r="C179" s="5" t="s">
        <v>569</v>
      </c>
      <c r="D179" s="5" t="s">
        <v>2006</v>
      </c>
      <c r="E179" s="5" t="s">
        <v>1791</v>
      </c>
      <c r="F179" s="5">
        <v>1</v>
      </c>
      <c r="G179" s="5" t="s">
        <v>2007</v>
      </c>
      <c r="H179" s="5" t="s">
        <v>2097</v>
      </c>
      <c r="I179" s="5" t="s">
        <v>2098</v>
      </c>
      <c r="J179" s="5" t="s">
        <v>2018</v>
      </c>
      <c r="K179" s="5" t="s">
        <v>2011</v>
      </c>
      <c r="L179" s="5" t="s">
        <v>108</v>
      </c>
      <c r="M179" s="5">
        <v>4</v>
      </c>
      <c r="N179" s="5" t="s">
        <v>2012</v>
      </c>
      <c r="O179" s="5" t="s">
        <v>2013</v>
      </c>
    </row>
    <row r="180" spans="1:15" ht="55.2">
      <c r="A180" s="5" t="s">
        <v>2296</v>
      </c>
      <c r="B180" s="5" t="s">
        <v>1780</v>
      </c>
      <c r="C180" s="5" t="s">
        <v>155</v>
      </c>
      <c r="D180" s="5" t="s">
        <v>2006</v>
      </c>
      <c r="E180" s="5" t="s">
        <v>1806</v>
      </c>
      <c r="F180" s="5">
        <v>1</v>
      </c>
      <c r="G180" s="5" t="s">
        <v>2007</v>
      </c>
      <c r="H180" s="5" t="s">
        <v>2062</v>
      </c>
      <c r="I180" s="5" t="s">
        <v>2071</v>
      </c>
      <c r="J180" s="5" t="s">
        <v>2018</v>
      </c>
      <c r="K180" s="5" t="s">
        <v>2011</v>
      </c>
      <c r="L180" s="5" t="s">
        <v>108</v>
      </c>
      <c r="M180" s="5">
        <v>4</v>
      </c>
      <c r="N180" s="5" t="s">
        <v>2012</v>
      </c>
      <c r="O180" s="5" t="s">
        <v>2013</v>
      </c>
    </row>
    <row r="181" spans="1:15" ht="55.2">
      <c r="A181" s="5" t="s">
        <v>2297</v>
      </c>
      <c r="B181" s="5" t="s">
        <v>1780</v>
      </c>
      <c r="C181" s="5" t="s">
        <v>154</v>
      </c>
      <c r="D181" s="5" t="s">
        <v>2025</v>
      </c>
      <c r="E181" s="5" t="s">
        <v>2298</v>
      </c>
      <c r="F181" s="5">
        <v>1</v>
      </c>
      <c r="G181" s="5" t="s">
        <v>2007</v>
      </c>
      <c r="H181" s="5" t="s">
        <v>2022</v>
      </c>
      <c r="I181" s="5" t="s">
        <v>2027</v>
      </c>
      <c r="J181" s="5" t="s">
        <v>2018</v>
      </c>
      <c r="K181" s="5" t="s">
        <v>2011</v>
      </c>
      <c r="L181" s="5" t="s">
        <v>108</v>
      </c>
      <c r="M181" s="5">
        <v>4</v>
      </c>
      <c r="N181" s="5" t="s">
        <v>2012</v>
      </c>
      <c r="O181" s="5" t="s">
        <v>2013</v>
      </c>
    </row>
    <row r="182" spans="1:15" ht="96.6">
      <c r="A182" s="5" t="s">
        <v>2299</v>
      </c>
      <c r="B182" s="5" t="s">
        <v>1812</v>
      </c>
      <c r="C182" s="5" t="s">
        <v>252</v>
      </c>
      <c r="D182" s="5" t="s">
        <v>2006</v>
      </c>
      <c r="E182" s="5" t="s">
        <v>1838</v>
      </c>
      <c r="F182" s="5">
        <v>3</v>
      </c>
      <c r="G182" s="5" t="s">
        <v>2015</v>
      </c>
      <c r="H182" s="5" t="s">
        <v>2101</v>
      </c>
      <c r="I182" s="5" t="s">
        <v>2125</v>
      </c>
      <c r="J182" s="5" t="s">
        <v>2018</v>
      </c>
      <c r="K182" s="5" t="s">
        <v>2011</v>
      </c>
      <c r="L182" s="5" t="s">
        <v>108</v>
      </c>
      <c r="M182" s="5">
        <v>4</v>
      </c>
      <c r="N182" s="5" t="s">
        <v>2012</v>
      </c>
      <c r="O182" s="5" t="s">
        <v>2013</v>
      </c>
    </row>
    <row r="183" spans="1:15" ht="69">
      <c r="A183" s="5" t="s">
        <v>2300</v>
      </c>
      <c r="B183" s="5" t="s">
        <v>1812</v>
      </c>
      <c r="C183" s="5" t="s">
        <v>154</v>
      </c>
      <c r="D183" s="5" t="s">
        <v>2006</v>
      </c>
      <c r="E183" s="5" t="s">
        <v>1822</v>
      </c>
      <c r="F183" s="5">
        <v>1</v>
      </c>
      <c r="G183" s="5" t="s">
        <v>2007</v>
      </c>
      <c r="H183" s="5" t="s">
        <v>2022</v>
      </c>
      <c r="I183" s="5" t="s">
        <v>2301</v>
      </c>
      <c r="J183" s="5" t="s">
        <v>2018</v>
      </c>
      <c r="K183" s="5" t="s">
        <v>2011</v>
      </c>
      <c r="L183" s="5" t="s">
        <v>108</v>
      </c>
      <c r="M183" s="5">
        <v>4</v>
      </c>
      <c r="N183" s="5" t="s">
        <v>2012</v>
      </c>
      <c r="O183" s="5" t="s">
        <v>2013</v>
      </c>
    </row>
    <row r="184" spans="1:15" ht="69">
      <c r="A184" s="5" t="s">
        <v>2302</v>
      </c>
      <c r="B184" s="5" t="s">
        <v>1812</v>
      </c>
      <c r="C184" s="5" t="s">
        <v>710</v>
      </c>
      <c r="D184" s="5" t="s">
        <v>2006</v>
      </c>
      <c r="E184" s="5" t="s">
        <v>1834</v>
      </c>
      <c r="F184" s="5">
        <v>2</v>
      </c>
      <c r="G184" s="5" t="s">
        <v>2039</v>
      </c>
      <c r="H184" s="5" t="s">
        <v>2128</v>
      </c>
      <c r="I184" s="5" t="s">
        <v>2134</v>
      </c>
      <c r="J184" s="5" t="s">
        <v>2018</v>
      </c>
      <c r="K184" s="5" t="s">
        <v>2011</v>
      </c>
      <c r="L184" s="5" t="s">
        <v>108</v>
      </c>
      <c r="M184" s="5">
        <v>4</v>
      </c>
      <c r="N184" s="5" t="s">
        <v>2012</v>
      </c>
      <c r="O184" s="5" t="s">
        <v>2013</v>
      </c>
    </row>
    <row r="185" spans="1:15" ht="110.4">
      <c r="A185" s="5" t="s">
        <v>2303</v>
      </c>
      <c r="B185" s="5" t="s">
        <v>1812</v>
      </c>
      <c r="C185" s="5" t="s">
        <v>252</v>
      </c>
      <c r="D185" s="5" t="s">
        <v>2025</v>
      </c>
      <c r="E185" s="5" t="s">
        <v>1832</v>
      </c>
      <c r="F185" s="5">
        <v>1</v>
      </c>
      <c r="G185" s="5" t="s">
        <v>2007</v>
      </c>
      <c r="H185" s="5" t="s">
        <v>2101</v>
      </c>
      <c r="I185" s="5" t="s">
        <v>2027</v>
      </c>
      <c r="J185" s="5" t="s">
        <v>2018</v>
      </c>
      <c r="K185" s="5" t="s">
        <v>2011</v>
      </c>
      <c r="L185" s="5" t="s">
        <v>108</v>
      </c>
      <c r="M185" s="5">
        <v>4</v>
      </c>
      <c r="N185" s="5" t="s">
        <v>2012</v>
      </c>
      <c r="O185" s="5" t="s">
        <v>2013</v>
      </c>
    </row>
    <row r="186" spans="1:15" ht="41.4">
      <c r="A186" s="5" t="s">
        <v>2304</v>
      </c>
      <c r="B186" s="5" t="s">
        <v>1843</v>
      </c>
      <c r="C186" s="5" t="s">
        <v>154</v>
      </c>
      <c r="D186" s="5" t="s">
        <v>2006</v>
      </c>
      <c r="E186" s="5" t="s">
        <v>1869</v>
      </c>
      <c r="F186" s="5">
        <v>8</v>
      </c>
      <c r="G186" s="5" t="s">
        <v>2146</v>
      </c>
      <c r="H186" s="5" t="s">
        <v>2022</v>
      </c>
      <c r="I186" s="5" t="s">
        <v>2023</v>
      </c>
      <c r="J186" s="5" t="s">
        <v>2018</v>
      </c>
      <c r="K186" s="5" t="s">
        <v>2011</v>
      </c>
      <c r="L186" s="5" t="s">
        <v>108</v>
      </c>
      <c r="M186" s="5">
        <v>4</v>
      </c>
      <c r="N186" s="5" t="s">
        <v>2012</v>
      </c>
      <c r="O186" s="5" t="s">
        <v>2013</v>
      </c>
    </row>
    <row r="187" spans="1:15" ht="41.4">
      <c r="A187" s="5" t="s">
        <v>2305</v>
      </c>
      <c r="B187" s="5" t="s">
        <v>1843</v>
      </c>
      <c r="C187" s="5" t="s">
        <v>155</v>
      </c>
      <c r="D187" s="5" t="s">
        <v>2006</v>
      </c>
      <c r="E187" s="5" t="s">
        <v>1870</v>
      </c>
      <c r="F187" s="5">
        <v>8</v>
      </c>
      <c r="G187" s="5" t="s">
        <v>2146</v>
      </c>
      <c r="H187" s="5" t="s">
        <v>2062</v>
      </c>
      <c r="I187" s="5" t="s">
        <v>2136</v>
      </c>
      <c r="J187" s="5" t="s">
        <v>2018</v>
      </c>
      <c r="K187" s="5" t="s">
        <v>2011</v>
      </c>
      <c r="L187" s="5" t="s">
        <v>108</v>
      </c>
      <c r="M187" s="5">
        <v>4</v>
      </c>
      <c r="N187" s="5" t="s">
        <v>2012</v>
      </c>
      <c r="O187" s="5" t="s">
        <v>2013</v>
      </c>
    </row>
    <row r="188" spans="1:15" ht="138">
      <c r="A188" s="5" t="s">
        <v>2306</v>
      </c>
      <c r="B188" s="5" t="s">
        <v>1843</v>
      </c>
      <c r="C188" s="5" t="s">
        <v>530</v>
      </c>
      <c r="D188" s="5" t="s">
        <v>2006</v>
      </c>
      <c r="E188" s="5" t="s">
        <v>1854</v>
      </c>
      <c r="F188" s="5">
        <v>2</v>
      </c>
      <c r="G188" s="5" t="s">
        <v>2007</v>
      </c>
      <c r="H188" s="5" t="s">
        <v>2091</v>
      </c>
      <c r="I188" s="5" t="s">
        <v>2092</v>
      </c>
      <c r="J188" s="5" t="s">
        <v>2093</v>
      </c>
      <c r="K188" s="5" t="s">
        <v>2011</v>
      </c>
      <c r="L188" s="5" t="s">
        <v>108</v>
      </c>
      <c r="M188" s="5">
        <v>4</v>
      </c>
      <c r="N188" s="5" t="s">
        <v>2012</v>
      </c>
      <c r="O188" s="5" t="s">
        <v>2013</v>
      </c>
    </row>
    <row r="189" spans="1:15" ht="82.8">
      <c r="A189" s="5" t="s">
        <v>2307</v>
      </c>
      <c r="B189" s="5" t="s">
        <v>1843</v>
      </c>
      <c r="C189" s="5" t="s">
        <v>154</v>
      </c>
      <c r="D189" s="5" t="s">
        <v>2025</v>
      </c>
      <c r="E189" s="5" t="s">
        <v>1858</v>
      </c>
      <c r="F189" s="5">
        <v>3</v>
      </c>
      <c r="G189" s="5" t="s">
        <v>2021</v>
      </c>
      <c r="H189" s="5" t="s">
        <v>2022</v>
      </c>
      <c r="I189" s="5" t="s">
        <v>2027</v>
      </c>
      <c r="J189" s="5" t="s">
        <v>2018</v>
      </c>
      <c r="K189" s="5" t="s">
        <v>2011</v>
      </c>
      <c r="L189" s="5" t="s">
        <v>108</v>
      </c>
      <c r="M189" s="5">
        <v>4</v>
      </c>
      <c r="N189" s="5" t="s">
        <v>2012</v>
      </c>
      <c r="O189" s="5" t="s">
        <v>2013</v>
      </c>
    </row>
    <row r="190" spans="1:15" ht="55.2">
      <c r="A190" s="5" t="s">
        <v>2308</v>
      </c>
      <c r="B190" s="5" t="s">
        <v>1876</v>
      </c>
      <c r="C190" s="5" t="s">
        <v>569</v>
      </c>
      <c r="D190" s="5" t="s">
        <v>2006</v>
      </c>
      <c r="E190" s="5" t="s">
        <v>1912</v>
      </c>
      <c r="F190" s="5">
        <v>10</v>
      </c>
      <c r="G190" s="5" t="s">
        <v>2015</v>
      </c>
      <c r="H190" s="5" t="s">
        <v>2097</v>
      </c>
      <c r="I190" s="5" t="s">
        <v>2098</v>
      </c>
      <c r="J190" s="5" t="s">
        <v>2018</v>
      </c>
      <c r="K190" s="5" t="s">
        <v>2011</v>
      </c>
      <c r="L190" s="5" t="s">
        <v>108</v>
      </c>
      <c r="M190" s="5">
        <v>4</v>
      </c>
      <c r="N190" s="5" t="s">
        <v>2012</v>
      </c>
      <c r="O190" s="5" t="s">
        <v>2013</v>
      </c>
    </row>
    <row r="191" spans="1:15" ht="69">
      <c r="A191" s="5" t="s">
        <v>2309</v>
      </c>
      <c r="B191" s="5" t="s">
        <v>1876</v>
      </c>
      <c r="C191" s="5" t="s">
        <v>1099</v>
      </c>
      <c r="D191" s="5" t="s">
        <v>2006</v>
      </c>
      <c r="E191" s="5" t="s">
        <v>1906</v>
      </c>
      <c r="F191" s="5">
        <v>1</v>
      </c>
      <c r="G191" s="5" t="s">
        <v>2015</v>
      </c>
      <c r="H191" s="5" t="s">
        <v>2310</v>
      </c>
      <c r="I191" s="5" t="s">
        <v>2311</v>
      </c>
      <c r="J191" s="5" t="s">
        <v>2018</v>
      </c>
      <c r="K191" s="5" t="s">
        <v>2011</v>
      </c>
      <c r="L191" s="5" t="s">
        <v>108</v>
      </c>
      <c r="M191" s="5">
        <v>4</v>
      </c>
      <c r="N191" s="5" t="s">
        <v>2012</v>
      </c>
      <c r="O191" s="5" t="s">
        <v>2013</v>
      </c>
    </row>
    <row r="192" spans="1:15" ht="82.8">
      <c r="A192" s="5" t="s">
        <v>2312</v>
      </c>
      <c r="B192" s="5" t="s">
        <v>1876</v>
      </c>
      <c r="C192" s="5" t="s">
        <v>152</v>
      </c>
      <c r="D192" s="5" t="s">
        <v>2006</v>
      </c>
      <c r="E192" s="5" t="s">
        <v>1910</v>
      </c>
      <c r="F192" s="5">
        <v>12</v>
      </c>
      <c r="G192" s="5" t="s">
        <v>2146</v>
      </c>
      <c r="H192" s="5" t="s">
        <v>2008</v>
      </c>
      <c r="I192" s="5" t="s">
        <v>2009</v>
      </c>
      <c r="J192" s="5" t="s">
        <v>2010</v>
      </c>
      <c r="K192" s="5" t="s">
        <v>2011</v>
      </c>
      <c r="L192" s="5" t="s">
        <v>108</v>
      </c>
      <c r="M192" s="5">
        <v>4</v>
      </c>
      <c r="N192" s="5" t="s">
        <v>2012</v>
      </c>
      <c r="O192" s="5" t="s">
        <v>2013</v>
      </c>
    </row>
    <row r="193" spans="1:15" ht="41.4">
      <c r="A193" s="5" t="s">
        <v>2313</v>
      </c>
      <c r="B193" s="5" t="s">
        <v>1876</v>
      </c>
      <c r="C193" s="5" t="s">
        <v>569</v>
      </c>
      <c r="D193" s="5" t="s">
        <v>2025</v>
      </c>
      <c r="E193" s="5" t="s">
        <v>2314</v>
      </c>
      <c r="F193" s="5">
        <v>1</v>
      </c>
      <c r="G193" s="5" t="s">
        <v>2015</v>
      </c>
      <c r="H193" s="5" t="s">
        <v>2097</v>
      </c>
      <c r="I193" s="5" t="s">
        <v>2027</v>
      </c>
      <c r="J193" s="5" t="s">
        <v>2018</v>
      </c>
      <c r="K193" s="5" t="s">
        <v>2011</v>
      </c>
      <c r="L193" s="5" t="s">
        <v>108</v>
      </c>
      <c r="M193" s="5">
        <v>4</v>
      </c>
      <c r="N193" s="5" t="s">
        <v>2012</v>
      </c>
      <c r="O193" s="5" t="s">
        <v>2013</v>
      </c>
    </row>
    <row r="194" spans="1:15" ht="69">
      <c r="A194" s="5" t="s">
        <v>2315</v>
      </c>
      <c r="B194" s="5" t="s">
        <v>1918</v>
      </c>
      <c r="C194" s="5" t="s">
        <v>154</v>
      </c>
      <c r="D194" s="5" t="s">
        <v>2006</v>
      </c>
      <c r="E194" s="5" t="s">
        <v>1953</v>
      </c>
      <c r="F194" s="5">
        <v>2</v>
      </c>
      <c r="G194" s="5" t="s">
        <v>2007</v>
      </c>
      <c r="H194" s="5" t="s">
        <v>2022</v>
      </c>
      <c r="I194" s="5" t="s">
        <v>2253</v>
      </c>
      <c r="J194" s="5" t="s">
        <v>2018</v>
      </c>
      <c r="K194" s="5" t="s">
        <v>2011</v>
      </c>
      <c r="L194" s="5" t="s">
        <v>108</v>
      </c>
      <c r="M194" s="5">
        <v>4</v>
      </c>
      <c r="N194" s="5" t="s">
        <v>2012</v>
      </c>
      <c r="O194" s="5" t="s">
        <v>2013</v>
      </c>
    </row>
    <row r="195" spans="1:15" ht="69">
      <c r="A195" s="5" t="s">
        <v>2316</v>
      </c>
      <c r="B195" s="5" t="s">
        <v>1918</v>
      </c>
      <c r="C195" s="5" t="s">
        <v>710</v>
      </c>
      <c r="D195" s="5" t="s">
        <v>2006</v>
      </c>
      <c r="E195" s="5" t="s">
        <v>1949</v>
      </c>
      <c r="F195" s="5">
        <v>2</v>
      </c>
      <c r="G195" s="5" t="s">
        <v>2007</v>
      </c>
      <c r="H195" s="5" t="s">
        <v>2128</v>
      </c>
      <c r="I195" s="5" t="s">
        <v>2134</v>
      </c>
      <c r="J195" s="5" t="s">
        <v>2018</v>
      </c>
      <c r="K195" s="5" t="s">
        <v>2011</v>
      </c>
      <c r="L195" s="5" t="s">
        <v>108</v>
      </c>
      <c r="M195" s="5">
        <v>4</v>
      </c>
      <c r="N195" s="5" t="s">
        <v>2012</v>
      </c>
      <c r="O195" s="5" t="s">
        <v>2013</v>
      </c>
    </row>
    <row r="196" spans="1:15" ht="220.8">
      <c r="A196" s="5" t="s">
        <v>2317</v>
      </c>
      <c r="B196" s="5" t="s">
        <v>1918</v>
      </c>
      <c r="C196" s="5" t="s">
        <v>494</v>
      </c>
      <c r="D196" s="5" t="s">
        <v>2006</v>
      </c>
      <c r="E196" s="5" t="s">
        <v>2318</v>
      </c>
      <c r="F196" s="5">
        <v>9</v>
      </c>
      <c r="G196" s="5" t="s">
        <v>2049</v>
      </c>
      <c r="H196" s="5" t="s">
        <v>2319</v>
      </c>
      <c r="I196" s="5" t="s">
        <v>2320</v>
      </c>
      <c r="J196" s="5" t="s">
        <v>2018</v>
      </c>
      <c r="K196" s="5" t="s">
        <v>2011</v>
      </c>
      <c r="L196" s="5" t="s">
        <v>108</v>
      </c>
      <c r="M196" s="5">
        <v>4</v>
      </c>
      <c r="N196" s="5" t="s">
        <v>2012</v>
      </c>
      <c r="O196" s="5" t="s">
        <v>2013</v>
      </c>
    </row>
    <row r="197" spans="1:15" ht="262.2">
      <c r="A197" s="5" t="s">
        <v>2321</v>
      </c>
      <c r="B197" s="5" t="s">
        <v>1918</v>
      </c>
      <c r="C197" s="5" t="s">
        <v>154</v>
      </c>
      <c r="D197" s="5" t="s">
        <v>2025</v>
      </c>
      <c r="E197" s="5" t="s">
        <v>2322</v>
      </c>
      <c r="F197" s="5">
        <v>2</v>
      </c>
      <c r="G197" s="5" t="s">
        <v>2007</v>
      </c>
      <c r="H197" s="5" t="s">
        <v>2022</v>
      </c>
      <c r="I197" s="5" t="s">
        <v>2027</v>
      </c>
      <c r="J197" s="5" t="s">
        <v>2018</v>
      </c>
      <c r="K197" s="5" t="s">
        <v>2011</v>
      </c>
      <c r="L197" s="5" t="s">
        <v>108</v>
      </c>
      <c r="M197" s="5">
        <v>4</v>
      </c>
      <c r="N197" s="5" t="s">
        <v>2012</v>
      </c>
      <c r="O197" s="5" t="s">
        <v>2013</v>
      </c>
    </row>
    <row r="198" spans="1:15" ht="248.4">
      <c r="A198" s="5" t="s">
        <v>2323</v>
      </c>
      <c r="B198" s="5" t="s">
        <v>1960</v>
      </c>
      <c r="C198" s="5" t="s">
        <v>152</v>
      </c>
      <c r="D198" s="5" t="s">
        <v>2006</v>
      </c>
      <c r="E198" s="5" t="s">
        <v>1986</v>
      </c>
      <c r="F198" s="5">
        <v>1</v>
      </c>
      <c r="G198" s="5" t="s">
        <v>2007</v>
      </c>
      <c r="H198" s="5" t="s">
        <v>2008</v>
      </c>
      <c r="I198" s="5" t="s">
        <v>2009</v>
      </c>
      <c r="J198" s="5" t="s">
        <v>2010</v>
      </c>
      <c r="K198" s="5" t="s">
        <v>2011</v>
      </c>
      <c r="L198" s="5" t="s">
        <v>108</v>
      </c>
      <c r="M198" s="5">
        <v>4</v>
      </c>
      <c r="N198" s="5" t="s">
        <v>2012</v>
      </c>
      <c r="O198" s="5" t="s">
        <v>2013</v>
      </c>
    </row>
    <row r="199" spans="1:15" ht="41.4">
      <c r="A199" s="5" t="s">
        <v>2324</v>
      </c>
      <c r="B199" s="5" t="s">
        <v>1960</v>
      </c>
      <c r="C199" s="5" t="s">
        <v>154</v>
      </c>
      <c r="D199" s="5" t="s">
        <v>2006</v>
      </c>
      <c r="E199" s="5" t="s">
        <v>1987</v>
      </c>
      <c r="F199" s="5">
        <v>6</v>
      </c>
      <c r="G199" s="5" t="s">
        <v>2015</v>
      </c>
      <c r="H199" s="5" t="s">
        <v>2022</v>
      </c>
      <c r="I199" s="5" t="s">
        <v>2023</v>
      </c>
      <c r="J199" s="5" t="s">
        <v>2018</v>
      </c>
      <c r="K199" s="5" t="s">
        <v>2011</v>
      </c>
      <c r="L199" s="5" t="s">
        <v>108</v>
      </c>
      <c r="M199" s="5">
        <v>4</v>
      </c>
      <c r="N199" s="5" t="s">
        <v>2012</v>
      </c>
      <c r="O199" s="5" t="s">
        <v>2013</v>
      </c>
    </row>
    <row r="200" spans="1:15" ht="41.4">
      <c r="A200" s="5" t="s">
        <v>2325</v>
      </c>
      <c r="B200" s="5" t="s">
        <v>1960</v>
      </c>
      <c r="C200" s="5" t="s">
        <v>155</v>
      </c>
      <c r="D200" s="5" t="s">
        <v>2006</v>
      </c>
      <c r="E200" s="5" t="s">
        <v>1985</v>
      </c>
      <c r="F200" s="5">
        <v>4</v>
      </c>
      <c r="G200" s="5" t="s">
        <v>2015</v>
      </c>
      <c r="H200" s="5" t="s">
        <v>2062</v>
      </c>
      <c r="I200" s="5" t="s">
        <v>2071</v>
      </c>
      <c r="J200" s="5" t="s">
        <v>2018</v>
      </c>
      <c r="K200" s="5" t="s">
        <v>2011</v>
      </c>
      <c r="L200" s="5" t="s">
        <v>108</v>
      </c>
      <c r="M200" s="5">
        <v>4</v>
      </c>
      <c r="N200" s="5" t="s">
        <v>2012</v>
      </c>
      <c r="O200" s="5" t="s">
        <v>2013</v>
      </c>
    </row>
    <row r="201" spans="1:15" ht="248.4">
      <c r="A201" s="5" t="s">
        <v>2326</v>
      </c>
      <c r="B201" s="5" t="s">
        <v>1960</v>
      </c>
      <c r="C201" s="5" t="s">
        <v>152</v>
      </c>
      <c r="D201" s="5" t="s">
        <v>2025</v>
      </c>
      <c r="E201" s="5" t="s">
        <v>1986</v>
      </c>
      <c r="F201" s="5">
        <v>1</v>
      </c>
      <c r="G201" s="5" t="s">
        <v>2007</v>
      </c>
      <c r="H201" s="5" t="s">
        <v>2008</v>
      </c>
      <c r="I201" s="5" t="s">
        <v>2027</v>
      </c>
      <c r="J201" s="5" t="s">
        <v>2010</v>
      </c>
      <c r="K201" s="5" t="s">
        <v>2011</v>
      </c>
      <c r="L201" s="5" t="s">
        <v>108</v>
      </c>
      <c r="M201" s="5">
        <v>4</v>
      </c>
      <c r="N201" s="5" t="s">
        <v>2012</v>
      </c>
      <c r="O201" s="5" t="s">
        <v>2013</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200-000000000000}">
          <x14:formula1>
            <xm:f>Controlled_Vocab!$J$2:$J$23</xm:f>
          </x14:formula1>
          <xm:sqref>C2:C201</xm:sqref>
        </x14:dataValidation>
        <x14:dataValidation type="list" xr:uid="{00000000-0002-0000-0200-000001000000}">
          <x14:formula1>
            <xm:f>Controlled_Vocab!$N$2:$N$6</xm:f>
          </x14:formula1>
          <xm:sqref>M2:M201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1"/>
  <sheetViews>
    <sheetView workbookViewId="0"/>
  </sheetViews>
  <sheetFormatPr defaultRowHeight="13.8"/>
  <cols>
    <col min="1" max="2" width="18" customWidth="1"/>
    <col min="3" max="14" width="15" customWidth="1"/>
    <col min="15" max="16" width="18" customWidth="1"/>
    <col min="17" max="17" width="40" customWidth="1"/>
    <col min="18" max="19" width="18" customWidth="1"/>
  </cols>
  <sheetData>
    <row r="1" spans="1:19" ht="41.4">
      <c r="A1" s="4" t="s">
        <v>0</v>
      </c>
      <c r="B1" s="4" t="s">
        <v>2327</v>
      </c>
      <c r="C1" s="4" t="s">
        <v>2328</v>
      </c>
      <c r="D1" s="4" t="s">
        <v>2329</v>
      </c>
      <c r="E1" s="4" t="s">
        <v>2330</v>
      </c>
      <c r="F1" s="4" t="s">
        <v>2331</v>
      </c>
      <c r="G1" s="4" t="s">
        <v>2332</v>
      </c>
      <c r="H1" s="4" t="s">
        <v>2333</v>
      </c>
      <c r="I1" s="4" t="s">
        <v>2334</v>
      </c>
      <c r="J1" s="4" t="s">
        <v>2335</v>
      </c>
      <c r="K1" s="4" t="s">
        <v>2336</v>
      </c>
      <c r="L1" s="4" t="s">
        <v>2337</v>
      </c>
      <c r="M1" s="4" t="s">
        <v>2338</v>
      </c>
      <c r="N1" s="4" t="s">
        <v>2339</v>
      </c>
      <c r="O1" s="4" t="s">
        <v>2340</v>
      </c>
      <c r="P1" s="4" t="s">
        <v>91</v>
      </c>
      <c r="Q1" s="4" t="s">
        <v>2341</v>
      </c>
      <c r="R1" s="4" t="s">
        <v>2342</v>
      </c>
      <c r="S1" s="4" t="s">
        <v>2343</v>
      </c>
    </row>
    <row r="2" spans="1:19" ht="69">
      <c r="A2" s="5" t="s">
        <v>102</v>
      </c>
      <c r="B2" s="5" t="s">
        <v>105</v>
      </c>
      <c r="C2" s="5">
        <v>2</v>
      </c>
      <c r="D2" s="5">
        <v>2</v>
      </c>
      <c r="E2" s="5">
        <v>1</v>
      </c>
      <c r="F2" s="5">
        <v>2</v>
      </c>
      <c r="G2" s="5">
        <v>2</v>
      </c>
      <c r="H2" s="5">
        <v>2</v>
      </c>
      <c r="I2" s="5">
        <v>2</v>
      </c>
      <c r="J2" s="5">
        <v>2</v>
      </c>
      <c r="K2" s="5">
        <v>2</v>
      </c>
      <c r="L2" s="5">
        <v>2</v>
      </c>
      <c r="M2" s="5">
        <v>2</v>
      </c>
      <c r="N2" s="5">
        <v>2</v>
      </c>
      <c r="O2" s="5">
        <f t="shared" ref="O2:O33" si="0">IF(COUNT(C2:N2)=0,"",SUM(C2:N2))</f>
        <v>23</v>
      </c>
      <c r="P2" s="5" t="str">
        <f t="shared" ref="P2:P33" si="1">IF(O2="","Not Scored",IF(O2&gt;=20,"Strong",IF(O2&gt;=14,"Moderate","Weak")))</f>
        <v>Strong</v>
      </c>
      <c r="Q2" s="5" t="s">
        <v>2344</v>
      </c>
      <c r="R2" s="5" t="s">
        <v>2345</v>
      </c>
      <c r="S2" s="5" t="s">
        <v>2346</v>
      </c>
    </row>
    <row r="3" spans="1:19" ht="82.8">
      <c r="A3" s="5" t="s">
        <v>160</v>
      </c>
      <c r="B3" s="5" t="s">
        <v>105</v>
      </c>
      <c r="C3" s="5">
        <v>2</v>
      </c>
      <c r="D3" s="5">
        <v>2</v>
      </c>
      <c r="E3" s="5">
        <v>0</v>
      </c>
      <c r="F3" s="5">
        <v>2</v>
      </c>
      <c r="G3" s="5">
        <v>1</v>
      </c>
      <c r="H3" s="5">
        <v>0</v>
      </c>
      <c r="I3" s="5">
        <v>2</v>
      </c>
      <c r="J3" s="5">
        <v>0</v>
      </c>
      <c r="K3" s="5">
        <v>2</v>
      </c>
      <c r="L3" s="5">
        <v>2</v>
      </c>
      <c r="M3" s="5">
        <v>2</v>
      </c>
      <c r="N3" s="5">
        <v>2</v>
      </c>
      <c r="O3" s="5">
        <f t="shared" si="0"/>
        <v>17</v>
      </c>
      <c r="P3" s="5" t="str">
        <f t="shared" si="1"/>
        <v>Moderate</v>
      </c>
      <c r="Q3" s="5" t="s">
        <v>2347</v>
      </c>
      <c r="R3" s="5" t="s">
        <v>2348</v>
      </c>
      <c r="S3" s="5" t="s">
        <v>2346</v>
      </c>
    </row>
    <row r="4" spans="1:19" ht="69">
      <c r="A4" s="5" t="s">
        <v>199</v>
      </c>
      <c r="B4" s="5" t="s">
        <v>105</v>
      </c>
      <c r="C4" s="5">
        <v>2</v>
      </c>
      <c r="D4" s="5">
        <v>2</v>
      </c>
      <c r="E4" s="5">
        <v>2</v>
      </c>
      <c r="F4" s="5">
        <v>2</v>
      </c>
      <c r="G4" s="5">
        <v>2</v>
      </c>
      <c r="H4" s="5">
        <v>2</v>
      </c>
      <c r="I4" s="5">
        <v>2</v>
      </c>
      <c r="J4" s="5">
        <v>2</v>
      </c>
      <c r="K4" s="5">
        <v>2</v>
      </c>
      <c r="L4" s="5">
        <v>2</v>
      </c>
      <c r="M4" s="5">
        <v>2</v>
      </c>
      <c r="N4" s="5">
        <v>2</v>
      </c>
      <c r="O4" s="5">
        <f t="shared" si="0"/>
        <v>24</v>
      </c>
      <c r="P4" s="5" t="str">
        <f t="shared" si="1"/>
        <v>Strong</v>
      </c>
      <c r="Q4" s="5" t="s">
        <v>2349</v>
      </c>
      <c r="R4" s="5" t="s">
        <v>2345</v>
      </c>
      <c r="S4" s="5" t="s">
        <v>2346</v>
      </c>
    </row>
    <row r="5" spans="1:19" ht="69">
      <c r="A5" s="5" t="s">
        <v>256</v>
      </c>
      <c r="B5" s="5" t="s">
        <v>105</v>
      </c>
      <c r="C5" s="5">
        <v>2</v>
      </c>
      <c r="D5" s="5">
        <v>2</v>
      </c>
      <c r="E5" s="5">
        <v>2</v>
      </c>
      <c r="F5" s="5">
        <v>2</v>
      </c>
      <c r="G5" s="5">
        <v>2</v>
      </c>
      <c r="H5" s="5">
        <v>2</v>
      </c>
      <c r="I5" s="5">
        <v>2</v>
      </c>
      <c r="J5" s="5">
        <v>2</v>
      </c>
      <c r="K5" s="5">
        <v>2</v>
      </c>
      <c r="L5" s="5">
        <v>2</v>
      </c>
      <c r="M5" s="5">
        <v>2</v>
      </c>
      <c r="N5" s="5">
        <v>2</v>
      </c>
      <c r="O5" s="5">
        <f t="shared" si="0"/>
        <v>24</v>
      </c>
      <c r="P5" s="5" t="str">
        <f t="shared" si="1"/>
        <v>Strong</v>
      </c>
      <c r="Q5" s="5" t="s">
        <v>2349</v>
      </c>
      <c r="R5" s="5" t="s">
        <v>2345</v>
      </c>
      <c r="S5" s="5" t="s">
        <v>2346</v>
      </c>
    </row>
    <row r="6" spans="1:19" ht="69">
      <c r="A6" s="5" t="s">
        <v>300</v>
      </c>
      <c r="B6" s="5" t="s">
        <v>105</v>
      </c>
      <c r="C6" s="5">
        <v>2</v>
      </c>
      <c r="D6" s="5">
        <v>0</v>
      </c>
      <c r="E6" s="5">
        <v>0</v>
      </c>
      <c r="F6" s="5">
        <v>2</v>
      </c>
      <c r="G6" s="5">
        <v>2</v>
      </c>
      <c r="H6" s="5">
        <v>2</v>
      </c>
      <c r="I6" s="5">
        <v>2</v>
      </c>
      <c r="J6" s="5">
        <v>2</v>
      </c>
      <c r="K6" s="5">
        <v>2</v>
      </c>
      <c r="L6" s="5">
        <v>2</v>
      </c>
      <c r="M6" s="5">
        <v>2</v>
      </c>
      <c r="N6" s="5">
        <v>2</v>
      </c>
      <c r="O6" s="5">
        <f t="shared" si="0"/>
        <v>20</v>
      </c>
      <c r="P6" s="5" t="str">
        <f t="shared" si="1"/>
        <v>Strong</v>
      </c>
      <c r="Q6" s="5" t="s">
        <v>2350</v>
      </c>
      <c r="R6" s="5" t="s">
        <v>2345</v>
      </c>
      <c r="S6" s="5" t="s">
        <v>2346</v>
      </c>
    </row>
    <row r="7" spans="1:19" ht="82.8">
      <c r="A7" s="5" t="s">
        <v>342</v>
      </c>
      <c r="B7" s="5" t="s">
        <v>105</v>
      </c>
      <c r="C7" s="5">
        <v>2</v>
      </c>
      <c r="D7" s="5">
        <v>2</v>
      </c>
      <c r="E7" s="5">
        <v>0</v>
      </c>
      <c r="F7" s="5">
        <v>2</v>
      </c>
      <c r="G7" s="5">
        <v>2</v>
      </c>
      <c r="H7" s="5">
        <v>2</v>
      </c>
      <c r="I7" s="5">
        <v>2</v>
      </c>
      <c r="J7" s="5">
        <v>2</v>
      </c>
      <c r="K7" s="5">
        <v>0</v>
      </c>
      <c r="L7" s="5">
        <v>2</v>
      </c>
      <c r="M7" s="5">
        <v>2</v>
      </c>
      <c r="N7" s="5">
        <v>0</v>
      </c>
      <c r="O7" s="5">
        <f t="shared" si="0"/>
        <v>18</v>
      </c>
      <c r="P7" s="5" t="str">
        <f t="shared" si="1"/>
        <v>Moderate</v>
      </c>
      <c r="Q7" s="5" t="s">
        <v>2344</v>
      </c>
      <c r="R7" s="5" t="s">
        <v>2348</v>
      </c>
      <c r="S7" s="5" t="s">
        <v>2346</v>
      </c>
    </row>
    <row r="8" spans="1:19" ht="69">
      <c r="A8" s="5" t="s">
        <v>388</v>
      </c>
      <c r="B8" s="5" t="s">
        <v>105</v>
      </c>
      <c r="C8" s="5">
        <v>2</v>
      </c>
      <c r="D8" s="5">
        <v>2</v>
      </c>
      <c r="E8" s="5">
        <v>0</v>
      </c>
      <c r="F8" s="5">
        <v>2</v>
      </c>
      <c r="G8" s="5">
        <v>2</v>
      </c>
      <c r="H8" s="5">
        <v>0</v>
      </c>
      <c r="I8" s="5">
        <v>2</v>
      </c>
      <c r="J8" s="5">
        <v>2</v>
      </c>
      <c r="K8" s="5">
        <v>2</v>
      </c>
      <c r="L8" s="5">
        <v>2</v>
      </c>
      <c r="M8" s="5">
        <v>2</v>
      </c>
      <c r="N8" s="5">
        <v>2</v>
      </c>
      <c r="O8" s="5">
        <f t="shared" si="0"/>
        <v>20</v>
      </c>
      <c r="P8" s="5" t="str">
        <f t="shared" si="1"/>
        <v>Strong</v>
      </c>
      <c r="Q8" s="5" t="s">
        <v>2344</v>
      </c>
      <c r="R8" s="5" t="s">
        <v>2345</v>
      </c>
      <c r="S8" s="5" t="s">
        <v>2346</v>
      </c>
    </row>
    <row r="9" spans="1:19" ht="69">
      <c r="A9" s="5" t="s">
        <v>420</v>
      </c>
      <c r="B9" s="5" t="s">
        <v>105</v>
      </c>
      <c r="C9" s="5">
        <v>2</v>
      </c>
      <c r="D9" s="5">
        <v>2</v>
      </c>
      <c r="E9" s="5">
        <v>2</v>
      </c>
      <c r="F9" s="5">
        <v>2</v>
      </c>
      <c r="G9" s="5">
        <v>2</v>
      </c>
      <c r="H9" s="5">
        <v>2</v>
      </c>
      <c r="I9" s="5">
        <v>2</v>
      </c>
      <c r="J9" s="5">
        <v>2</v>
      </c>
      <c r="K9" s="5">
        <v>2</v>
      </c>
      <c r="L9" s="5">
        <v>2</v>
      </c>
      <c r="M9" s="5">
        <v>2</v>
      </c>
      <c r="N9" s="5">
        <v>2</v>
      </c>
      <c r="O9" s="5">
        <f t="shared" si="0"/>
        <v>24</v>
      </c>
      <c r="P9" s="5" t="str">
        <f t="shared" si="1"/>
        <v>Strong</v>
      </c>
      <c r="Q9" s="5" t="s">
        <v>2349</v>
      </c>
      <c r="R9" s="5" t="s">
        <v>2345</v>
      </c>
      <c r="S9" s="5" t="s">
        <v>2346</v>
      </c>
    </row>
    <row r="10" spans="1:19" ht="69">
      <c r="A10" s="5" t="s">
        <v>457</v>
      </c>
      <c r="B10" s="5" t="s">
        <v>105</v>
      </c>
      <c r="C10" s="5">
        <v>2</v>
      </c>
      <c r="D10" s="5">
        <v>2</v>
      </c>
      <c r="E10" s="5">
        <v>0</v>
      </c>
      <c r="F10" s="5">
        <v>2</v>
      </c>
      <c r="G10" s="5">
        <v>2</v>
      </c>
      <c r="H10" s="5">
        <v>2</v>
      </c>
      <c r="I10" s="5">
        <v>2</v>
      </c>
      <c r="J10" s="5">
        <v>2</v>
      </c>
      <c r="K10" s="5">
        <v>2</v>
      </c>
      <c r="L10" s="5">
        <v>2</v>
      </c>
      <c r="M10" s="5">
        <v>2</v>
      </c>
      <c r="N10" s="5">
        <v>2</v>
      </c>
      <c r="O10" s="5">
        <f t="shared" si="0"/>
        <v>22</v>
      </c>
      <c r="P10" s="5" t="str">
        <f t="shared" si="1"/>
        <v>Strong</v>
      </c>
      <c r="Q10" s="5" t="s">
        <v>2344</v>
      </c>
      <c r="R10" s="5" t="s">
        <v>2345</v>
      </c>
      <c r="S10" s="5" t="s">
        <v>2346</v>
      </c>
    </row>
    <row r="11" spans="1:19" ht="69">
      <c r="A11" s="5" t="s">
        <v>496</v>
      </c>
      <c r="B11" s="5" t="s">
        <v>105</v>
      </c>
      <c r="C11" s="5">
        <v>2</v>
      </c>
      <c r="D11" s="5">
        <v>2</v>
      </c>
      <c r="E11" s="5">
        <v>1</v>
      </c>
      <c r="F11" s="5">
        <v>2</v>
      </c>
      <c r="G11" s="5">
        <v>2</v>
      </c>
      <c r="H11" s="5">
        <v>0</v>
      </c>
      <c r="I11" s="5">
        <v>2</v>
      </c>
      <c r="J11" s="5">
        <v>2</v>
      </c>
      <c r="K11" s="5">
        <v>2</v>
      </c>
      <c r="L11" s="5">
        <v>2</v>
      </c>
      <c r="M11" s="5">
        <v>2</v>
      </c>
      <c r="N11" s="5">
        <v>2</v>
      </c>
      <c r="O11" s="5">
        <f t="shared" si="0"/>
        <v>21</v>
      </c>
      <c r="P11" s="5" t="str">
        <f t="shared" si="1"/>
        <v>Strong</v>
      </c>
      <c r="Q11" s="5" t="s">
        <v>2344</v>
      </c>
      <c r="R11" s="5" t="s">
        <v>2345</v>
      </c>
      <c r="S11" s="5" t="s">
        <v>2346</v>
      </c>
    </row>
    <row r="12" spans="1:19" ht="69">
      <c r="A12" s="5" t="s">
        <v>532</v>
      </c>
      <c r="B12" s="5" t="s">
        <v>105</v>
      </c>
      <c r="C12" s="5">
        <v>2</v>
      </c>
      <c r="D12" s="5">
        <v>2</v>
      </c>
      <c r="E12" s="5">
        <v>2</v>
      </c>
      <c r="F12" s="5">
        <v>2</v>
      </c>
      <c r="G12" s="5">
        <v>2</v>
      </c>
      <c r="H12" s="5">
        <v>2</v>
      </c>
      <c r="I12" s="5">
        <v>2</v>
      </c>
      <c r="J12" s="5">
        <v>2</v>
      </c>
      <c r="K12" s="5">
        <v>2</v>
      </c>
      <c r="L12" s="5">
        <v>2</v>
      </c>
      <c r="M12" s="5">
        <v>2</v>
      </c>
      <c r="N12" s="5">
        <v>2</v>
      </c>
      <c r="O12" s="5">
        <f t="shared" si="0"/>
        <v>24</v>
      </c>
      <c r="P12" s="5" t="str">
        <f t="shared" si="1"/>
        <v>Strong</v>
      </c>
      <c r="Q12" s="5" t="s">
        <v>2349</v>
      </c>
      <c r="R12" s="5" t="s">
        <v>2345</v>
      </c>
      <c r="S12" s="5" t="s">
        <v>2346</v>
      </c>
    </row>
    <row r="13" spans="1:19" ht="69">
      <c r="A13" s="5" t="s">
        <v>572</v>
      </c>
      <c r="B13" s="5" t="s">
        <v>105</v>
      </c>
      <c r="C13" s="5">
        <v>2</v>
      </c>
      <c r="D13" s="5">
        <v>2</v>
      </c>
      <c r="E13" s="5">
        <v>0</v>
      </c>
      <c r="F13" s="5">
        <v>2</v>
      </c>
      <c r="G13" s="5">
        <v>2</v>
      </c>
      <c r="H13" s="5">
        <v>0</v>
      </c>
      <c r="I13" s="5">
        <v>2</v>
      </c>
      <c r="J13" s="5">
        <v>2</v>
      </c>
      <c r="K13" s="5">
        <v>2</v>
      </c>
      <c r="L13" s="5">
        <v>2</v>
      </c>
      <c r="M13" s="5">
        <v>2</v>
      </c>
      <c r="N13" s="5">
        <v>2</v>
      </c>
      <c r="O13" s="5">
        <f t="shared" si="0"/>
        <v>20</v>
      </c>
      <c r="P13" s="5" t="str">
        <f t="shared" si="1"/>
        <v>Strong</v>
      </c>
      <c r="Q13" s="5" t="s">
        <v>2344</v>
      </c>
      <c r="R13" s="5" t="s">
        <v>2345</v>
      </c>
      <c r="S13" s="5" t="s">
        <v>2346</v>
      </c>
    </row>
    <row r="14" spans="1:19" ht="69">
      <c r="A14" s="5" t="s">
        <v>611</v>
      </c>
      <c r="B14" s="5" t="s">
        <v>105</v>
      </c>
      <c r="C14" s="5">
        <v>2</v>
      </c>
      <c r="D14" s="5">
        <v>2</v>
      </c>
      <c r="E14" s="5">
        <v>0</v>
      </c>
      <c r="F14" s="5">
        <v>2</v>
      </c>
      <c r="G14" s="5">
        <v>2</v>
      </c>
      <c r="H14" s="5">
        <v>0</v>
      </c>
      <c r="I14" s="5">
        <v>2</v>
      </c>
      <c r="J14" s="5">
        <v>2</v>
      </c>
      <c r="K14" s="5">
        <v>2</v>
      </c>
      <c r="L14" s="5">
        <v>2</v>
      </c>
      <c r="M14" s="5">
        <v>2</v>
      </c>
      <c r="N14" s="5">
        <v>2</v>
      </c>
      <c r="O14" s="5">
        <f t="shared" si="0"/>
        <v>20</v>
      </c>
      <c r="P14" s="5" t="str">
        <f t="shared" si="1"/>
        <v>Strong</v>
      </c>
      <c r="Q14" s="5" t="s">
        <v>2344</v>
      </c>
      <c r="R14" s="5" t="s">
        <v>2345</v>
      </c>
      <c r="S14" s="5" t="s">
        <v>2346</v>
      </c>
    </row>
    <row r="15" spans="1:19" ht="69">
      <c r="A15" s="5" t="s">
        <v>649</v>
      </c>
      <c r="B15" s="5" t="s">
        <v>105</v>
      </c>
      <c r="C15" s="5">
        <v>2</v>
      </c>
      <c r="D15" s="5">
        <v>2</v>
      </c>
      <c r="E15" s="5">
        <v>1</v>
      </c>
      <c r="F15" s="5">
        <v>2</v>
      </c>
      <c r="G15" s="5">
        <v>2</v>
      </c>
      <c r="H15" s="5">
        <v>0</v>
      </c>
      <c r="I15" s="5">
        <v>2</v>
      </c>
      <c r="J15" s="5">
        <v>2</v>
      </c>
      <c r="K15" s="5">
        <v>2</v>
      </c>
      <c r="L15" s="5">
        <v>2</v>
      </c>
      <c r="M15" s="5">
        <v>2</v>
      </c>
      <c r="N15" s="5">
        <v>2</v>
      </c>
      <c r="O15" s="5">
        <f t="shared" si="0"/>
        <v>21</v>
      </c>
      <c r="P15" s="5" t="str">
        <f t="shared" si="1"/>
        <v>Strong</v>
      </c>
      <c r="Q15" s="5" t="s">
        <v>2344</v>
      </c>
      <c r="R15" s="5" t="s">
        <v>2345</v>
      </c>
      <c r="S15" s="5" t="s">
        <v>2346</v>
      </c>
    </row>
    <row r="16" spans="1:19" ht="82.8">
      <c r="A16" s="5" t="s">
        <v>684</v>
      </c>
      <c r="B16" s="5" t="s">
        <v>105</v>
      </c>
      <c r="C16" s="5">
        <v>2</v>
      </c>
      <c r="D16" s="5">
        <v>2</v>
      </c>
      <c r="E16" s="5">
        <v>0</v>
      </c>
      <c r="F16" s="5">
        <v>2</v>
      </c>
      <c r="G16" s="5">
        <v>1</v>
      </c>
      <c r="H16" s="5">
        <v>0</v>
      </c>
      <c r="I16" s="5">
        <v>2</v>
      </c>
      <c r="J16" s="5">
        <v>0</v>
      </c>
      <c r="K16" s="5">
        <v>2</v>
      </c>
      <c r="L16" s="5">
        <v>2</v>
      </c>
      <c r="M16" s="5">
        <v>1</v>
      </c>
      <c r="N16" s="5">
        <v>2</v>
      </c>
      <c r="O16" s="5">
        <f t="shared" si="0"/>
        <v>16</v>
      </c>
      <c r="P16" s="5" t="str">
        <f t="shared" si="1"/>
        <v>Moderate</v>
      </c>
      <c r="Q16" s="5" t="s">
        <v>2347</v>
      </c>
      <c r="R16" s="5" t="s">
        <v>2348</v>
      </c>
      <c r="S16" s="5" t="s">
        <v>2346</v>
      </c>
    </row>
    <row r="17" spans="1:19" ht="69">
      <c r="A17" s="5" t="s">
        <v>714</v>
      </c>
      <c r="B17" s="5" t="s">
        <v>105</v>
      </c>
      <c r="C17" s="5">
        <v>2</v>
      </c>
      <c r="D17" s="5">
        <v>2</v>
      </c>
      <c r="E17" s="5">
        <v>2</v>
      </c>
      <c r="F17" s="5">
        <v>2</v>
      </c>
      <c r="G17" s="5">
        <v>2</v>
      </c>
      <c r="H17" s="5">
        <v>2</v>
      </c>
      <c r="I17" s="5">
        <v>2</v>
      </c>
      <c r="J17" s="5">
        <v>2</v>
      </c>
      <c r="K17" s="5">
        <v>2</v>
      </c>
      <c r="L17" s="5">
        <v>2</v>
      </c>
      <c r="M17" s="5">
        <v>2</v>
      </c>
      <c r="N17" s="5">
        <v>2</v>
      </c>
      <c r="O17" s="5">
        <f t="shared" si="0"/>
        <v>24</v>
      </c>
      <c r="P17" s="5" t="str">
        <f t="shared" si="1"/>
        <v>Strong</v>
      </c>
      <c r="Q17" s="5" t="s">
        <v>2349</v>
      </c>
      <c r="R17" s="5" t="s">
        <v>2345</v>
      </c>
      <c r="S17" s="5" t="s">
        <v>2346</v>
      </c>
    </row>
    <row r="18" spans="1:19" ht="69">
      <c r="A18" s="5" t="s">
        <v>753</v>
      </c>
      <c r="B18" s="5" t="s">
        <v>105</v>
      </c>
      <c r="C18" s="5">
        <v>2</v>
      </c>
      <c r="D18" s="5">
        <v>0</v>
      </c>
      <c r="E18" s="5">
        <v>0</v>
      </c>
      <c r="F18" s="5">
        <v>2</v>
      </c>
      <c r="G18" s="5">
        <v>2</v>
      </c>
      <c r="H18" s="5">
        <v>2</v>
      </c>
      <c r="I18" s="5">
        <v>2</v>
      </c>
      <c r="J18" s="5">
        <v>2</v>
      </c>
      <c r="K18" s="5">
        <v>2</v>
      </c>
      <c r="L18" s="5">
        <v>2</v>
      </c>
      <c r="M18" s="5">
        <v>2</v>
      </c>
      <c r="N18" s="5">
        <v>2</v>
      </c>
      <c r="O18" s="5">
        <f t="shared" si="0"/>
        <v>20</v>
      </c>
      <c r="P18" s="5" t="str">
        <f t="shared" si="1"/>
        <v>Strong</v>
      </c>
      <c r="Q18" s="5" t="s">
        <v>2350</v>
      </c>
      <c r="R18" s="5" t="s">
        <v>2345</v>
      </c>
      <c r="S18" s="5" t="s">
        <v>2346</v>
      </c>
    </row>
    <row r="19" spans="1:19" ht="69">
      <c r="A19" s="5" t="s">
        <v>785</v>
      </c>
      <c r="B19" s="5" t="s">
        <v>105</v>
      </c>
      <c r="C19" s="5">
        <v>2</v>
      </c>
      <c r="D19" s="5">
        <v>2</v>
      </c>
      <c r="E19" s="5">
        <v>2</v>
      </c>
      <c r="F19" s="5">
        <v>2</v>
      </c>
      <c r="G19" s="5">
        <v>2</v>
      </c>
      <c r="H19" s="5">
        <v>2</v>
      </c>
      <c r="I19" s="5">
        <v>2</v>
      </c>
      <c r="J19" s="5">
        <v>2</v>
      </c>
      <c r="K19" s="5">
        <v>2</v>
      </c>
      <c r="L19" s="5">
        <v>2</v>
      </c>
      <c r="M19" s="5">
        <v>2</v>
      </c>
      <c r="N19" s="5">
        <v>2</v>
      </c>
      <c r="O19" s="5">
        <f t="shared" si="0"/>
        <v>24</v>
      </c>
      <c r="P19" s="5" t="str">
        <f t="shared" si="1"/>
        <v>Strong</v>
      </c>
      <c r="Q19" s="5" t="s">
        <v>2349</v>
      </c>
      <c r="R19" s="5" t="s">
        <v>2345</v>
      </c>
      <c r="S19" s="5" t="s">
        <v>2346</v>
      </c>
    </row>
    <row r="20" spans="1:19" ht="69">
      <c r="A20" s="5" t="s">
        <v>830</v>
      </c>
      <c r="B20" s="5" t="s">
        <v>105</v>
      </c>
      <c r="C20" s="5">
        <v>2</v>
      </c>
      <c r="D20" s="5">
        <v>0</v>
      </c>
      <c r="E20" s="5">
        <v>0</v>
      </c>
      <c r="F20" s="5">
        <v>2</v>
      </c>
      <c r="G20" s="5">
        <v>2</v>
      </c>
      <c r="H20" s="5">
        <v>2</v>
      </c>
      <c r="I20" s="5">
        <v>2</v>
      </c>
      <c r="J20" s="5">
        <v>2</v>
      </c>
      <c r="K20" s="5">
        <v>2</v>
      </c>
      <c r="L20" s="5">
        <v>2</v>
      </c>
      <c r="M20" s="5">
        <v>2</v>
      </c>
      <c r="N20" s="5">
        <v>2</v>
      </c>
      <c r="O20" s="5">
        <f t="shared" si="0"/>
        <v>20</v>
      </c>
      <c r="P20" s="5" t="str">
        <f t="shared" si="1"/>
        <v>Strong</v>
      </c>
      <c r="Q20" s="5" t="s">
        <v>2350</v>
      </c>
      <c r="R20" s="5" t="s">
        <v>2345</v>
      </c>
      <c r="S20" s="5" t="s">
        <v>2346</v>
      </c>
    </row>
    <row r="21" spans="1:19" ht="69">
      <c r="A21" s="5" t="s">
        <v>867</v>
      </c>
      <c r="B21" s="5" t="s">
        <v>105</v>
      </c>
      <c r="C21" s="5">
        <v>2</v>
      </c>
      <c r="D21" s="5">
        <v>2</v>
      </c>
      <c r="E21" s="5">
        <v>0</v>
      </c>
      <c r="F21" s="5">
        <v>2</v>
      </c>
      <c r="G21" s="5">
        <v>2</v>
      </c>
      <c r="H21" s="5">
        <v>0</v>
      </c>
      <c r="I21" s="5">
        <v>2</v>
      </c>
      <c r="J21" s="5">
        <v>2</v>
      </c>
      <c r="K21" s="5">
        <v>2</v>
      </c>
      <c r="L21" s="5">
        <v>2</v>
      </c>
      <c r="M21" s="5">
        <v>2</v>
      </c>
      <c r="N21" s="5">
        <v>2</v>
      </c>
      <c r="O21" s="5">
        <f t="shared" si="0"/>
        <v>20</v>
      </c>
      <c r="P21" s="5" t="str">
        <f t="shared" si="1"/>
        <v>Strong</v>
      </c>
      <c r="Q21" s="5" t="s">
        <v>2344</v>
      </c>
      <c r="R21" s="5" t="s">
        <v>2345</v>
      </c>
      <c r="S21" s="5" t="s">
        <v>2346</v>
      </c>
    </row>
    <row r="22" spans="1:19" ht="69">
      <c r="A22" s="5" t="s">
        <v>895</v>
      </c>
      <c r="B22" s="5" t="s">
        <v>105</v>
      </c>
      <c r="C22" s="5">
        <v>2</v>
      </c>
      <c r="D22" s="5">
        <v>0</v>
      </c>
      <c r="E22" s="5">
        <v>0</v>
      </c>
      <c r="F22" s="5">
        <v>2</v>
      </c>
      <c r="G22" s="5">
        <v>2</v>
      </c>
      <c r="H22" s="5">
        <v>2</v>
      </c>
      <c r="I22" s="5">
        <v>2</v>
      </c>
      <c r="J22" s="5">
        <v>2</v>
      </c>
      <c r="K22" s="5">
        <v>2</v>
      </c>
      <c r="L22" s="5">
        <v>2</v>
      </c>
      <c r="M22" s="5">
        <v>2</v>
      </c>
      <c r="N22" s="5">
        <v>2</v>
      </c>
      <c r="O22" s="5">
        <f t="shared" si="0"/>
        <v>20</v>
      </c>
      <c r="P22" s="5" t="str">
        <f t="shared" si="1"/>
        <v>Strong</v>
      </c>
      <c r="Q22" s="5" t="s">
        <v>2350</v>
      </c>
      <c r="R22" s="5" t="s">
        <v>2345</v>
      </c>
      <c r="S22" s="5" t="s">
        <v>2346</v>
      </c>
    </row>
    <row r="23" spans="1:19" ht="69">
      <c r="A23" s="5" t="s">
        <v>935</v>
      </c>
      <c r="B23" s="5" t="s">
        <v>105</v>
      </c>
      <c r="C23" s="5">
        <v>2</v>
      </c>
      <c r="D23" s="5">
        <v>2</v>
      </c>
      <c r="E23" s="5">
        <v>2</v>
      </c>
      <c r="F23" s="5">
        <v>2</v>
      </c>
      <c r="G23" s="5">
        <v>2</v>
      </c>
      <c r="H23" s="5">
        <v>0</v>
      </c>
      <c r="I23" s="5">
        <v>2</v>
      </c>
      <c r="J23" s="5">
        <v>2</v>
      </c>
      <c r="K23" s="5">
        <v>2</v>
      </c>
      <c r="L23" s="5">
        <v>2</v>
      </c>
      <c r="M23" s="5">
        <v>2</v>
      </c>
      <c r="N23" s="5">
        <v>2</v>
      </c>
      <c r="O23" s="5">
        <f t="shared" si="0"/>
        <v>22</v>
      </c>
      <c r="P23" s="5" t="str">
        <f t="shared" si="1"/>
        <v>Strong</v>
      </c>
      <c r="Q23" s="5" t="s">
        <v>2349</v>
      </c>
      <c r="R23" s="5" t="s">
        <v>2345</v>
      </c>
      <c r="S23" s="5" t="s">
        <v>2346</v>
      </c>
    </row>
    <row r="24" spans="1:19" ht="69">
      <c r="A24" s="5" t="s">
        <v>975</v>
      </c>
      <c r="B24" s="5" t="s">
        <v>105</v>
      </c>
      <c r="C24" s="5">
        <v>2</v>
      </c>
      <c r="D24" s="5">
        <v>2</v>
      </c>
      <c r="E24" s="5">
        <v>2</v>
      </c>
      <c r="F24" s="5">
        <v>2</v>
      </c>
      <c r="G24" s="5">
        <v>2</v>
      </c>
      <c r="H24" s="5">
        <v>2</v>
      </c>
      <c r="I24" s="5">
        <v>2</v>
      </c>
      <c r="J24" s="5">
        <v>2</v>
      </c>
      <c r="K24" s="5">
        <v>2</v>
      </c>
      <c r="L24" s="5">
        <v>2</v>
      </c>
      <c r="M24" s="5">
        <v>2</v>
      </c>
      <c r="N24" s="5">
        <v>2</v>
      </c>
      <c r="O24" s="5">
        <f t="shared" si="0"/>
        <v>24</v>
      </c>
      <c r="P24" s="5" t="str">
        <f t="shared" si="1"/>
        <v>Strong</v>
      </c>
      <c r="Q24" s="5" t="s">
        <v>2349</v>
      </c>
      <c r="R24" s="5" t="s">
        <v>2345</v>
      </c>
      <c r="S24" s="5" t="s">
        <v>2346</v>
      </c>
    </row>
    <row r="25" spans="1:19" ht="69">
      <c r="A25" s="5" t="s">
        <v>1018</v>
      </c>
      <c r="B25" s="5" t="s">
        <v>105</v>
      </c>
      <c r="C25" s="5">
        <v>2</v>
      </c>
      <c r="D25" s="5">
        <v>2</v>
      </c>
      <c r="E25" s="5">
        <v>2</v>
      </c>
      <c r="F25" s="5">
        <v>2</v>
      </c>
      <c r="G25" s="5">
        <v>2</v>
      </c>
      <c r="H25" s="5">
        <v>2</v>
      </c>
      <c r="I25" s="5">
        <v>2</v>
      </c>
      <c r="J25" s="5">
        <v>2</v>
      </c>
      <c r="K25" s="5">
        <v>2</v>
      </c>
      <c r="L25" s="5">
        <v>2</v>
      </c>
      <c r="M25" s="5">
        <v>2</v>
      </c>
      <c r="N25" s="5">
        <v>2</v>
      </c>
      <c r="O25" s="5">
        <f t="shared" si="0"/>
        <v>24</v>
      </c>
      <c r="P25" s="5" t="str">
        <f t="shared" si="1"/>
        <v>Strong</v>
      </c>
      <c r="Q25" s="5" t="s">
        <v>2349</v>
      </c>
      <c r="R25" s="5" t="s">
        <v>2345</v>
      </c>
      <c r="S25" s="5" t="s">
        <v>2346</v>
      </c>
    </row>
    <row r="26" spans="1:19" ht="69">
      <c r="A26" s="5" t="s">
        <v>1060</v>
      </c>
      <c r="B26" s="5" t="s">
        <v>105</v>
      </c>
      <c r="C26" s="5">
        <v>2</v>
      </c>
      <c r="D26" s="5">
        <v>2</v>
      </c>
      <c r="E26" s="5">
        <v>2</v>
      </c>
      <c r="F26" s="5">
        <v>2</v>
      </c>
      <c r="G26" s="5">
        <v>2</v>
      </c>
      <c r="H26" s="5">
        <v>0</v>
      </c>
      <c r="I26" s="5">
        <v>2</v>
      </c>
      <c r="J26" s="5">
        <v>2</v>
      </c>
      <c r="K26" s="5">
        <v>2</v>
      </c>
      <c r="L26" s="5">
        <v>2</v>
      </c>
      <c r="M26" s="5">
        <v>2</v>
      </c>
      <c r="N26" s="5">
        <v>2</v>
      </c>
      <c r="O26" s="5">
        <f t="shared" si="0"/>
        <v>22</v>
      </c>
      <c r="P26" s="5" t="str">
        <f t="shared" si="1"/>
        <v>Strong</v>
      </c>
      <c r="Q26" s="5" t="s">
        <v>2349</v>
      </c>
      <c r="R26" s="5" t="s">
        <v>2345</v>
      </c>
      <c r="S26" s="5" t="s">
        <v>2346</v>
      </c>
    </row>
    <row r="27" spans="1:19" ht="69">
      <c r="A27" s="5" t="s">
        <v>1102</v>
      </c>
      <c r="B27" s="5" t="s">
        <v>105</v>
      </c>
      <c r="C27" s="5">
        <v>2</v>
      </c>
      <c r="D27" s="5">
        <v>2</v>
      </c>
      <c r="E27" s="5">
        <v>0</v>
      </c>
      <c r="F27" s="5">
        <v>2</v>
      </c>
      <c r="G27" s="5">
        <v>2</v>
      </c>
      <c r="H27" s="5">
        <v>2</v>
      </c>
      <c r="I27" s="5">
        <v>2</v>
      </c>
      <c r="J27" s="5">
        <v>2</v>
      </c>
      <c r="K27" s="5">
        <v>2</v>
      </c>
      <c r="L27" s="5">
        <v>2</v>
      </c>
      <c r="M27" s="5">
        <v>2</v>
      </c>
      <c r="N27" s="5">
        <v>2</v>
      </c>
      <c r="O27" s="5">
        <f t="shared" si="0"/>
        <v>22</v>
      </c>
      <c r="P27" s="5" t="str">
        <f t="shared" si="1"/>
        <v>Strong</v>
      </c>
      <c r="Q27" s="5" t="s">
        <v>2344</v>
      </c>
      <c r="R27" s="5" t="s">
        <v>2345</v>
      </c>
      <c r="S27" s="5" t="s">
        <v>2346</v>
      </c>
    </row>
    <row r="28" spans="1:19" ht="69">
      <c r="A28" s="5" t="s">
        <v>1142</v>
      </c>
      <c r="B28" s="5" t="s">
        <v>105</v>
      </c>
      <c r="C28" s="5">
        <v>2</v>
      </c>
      <c r="D28" s="5">
        <v>2</v>
      </c>
      <c r="E28" s="5">
        <v>0</v>
      </c>
      <c r="F28" s="5">
        <v>2</v>
      </c>
      <c r="G28" s="5">
        <v>2</v>
      </c>
      <c r="H28" s="5">
        <v>2</v>
      </c>
      <c r="I28" s="5">
        <v>2</v>
      </c>
      <c r="J28" s="5">
        <v>2</v>
      </c>
      <c r="K28" s="5">
        <v>2</v>
      </c>
      <c r="L28" s="5">
        <v>2</v>
      </c>
      <c r="M28" s="5">
        <v>2</v>
      </c>
      <c r="N28" s="5">
        <v>2</v>
      </c>
      <c r="O28" s="5">
        <f t="shared" si="0"/>
        <v>22</v>
      </c>
      <c r="P28" s="5" t="str">
        <f t="shared" si="1"/>
        <v>Strong</v>
      </c>
      <c r="Q28" s="5" t="s">
        <v>2344</v>
      </c>
      <c r="R28" s="5" t="s">
        <v>2345</v>
      </c>
      <c r="S28" s="5" t="s">
        <v>2346</v>
      </c>
    </row>
    <row r="29" spans="1:19" ht="69">
      <c r="A29" s="5" t="s">
        <v>1185</v>
      </c>
      <c r="B29" s="5" t="s">
        <v>105</v>
      </c>
      <c r="C29" s="5">
        <v>2</v>
      </c>
      <c r="D29" s="5">
        <v>2</v>
      </c>
      <c r="E29" s="5">
        <v>2</v>
      </c>
      <c r="F29" s="5">
        <v>2</v>
      </c>
      <c r="G29" s="5">
        <v>2</v>
      </c>
      <c r="H29" s="5">
        <v>2</v>
      </c>
      <c r="I29" s="5">
        <v>2</v>
      </c>
      <c r="J29" s="5">
        <v>2</v>
      </c>
      <c r="K29" s="5">
        <v>2</v>
      </c>
      <c r="L29" s="5">
        <v>2</v>
      </c>
      <c r="M29" s="5">
        <v>2</v>
      </c>
      <c r="N29" s="5">
        <v>2</v>
      </c>
      <c r="O29" s="5">
        <f t="shared" si="0"/>
        <v>24</v>
      </c>
      <c r="P29" s="5" t="str">
        <f t="shared" si="1"/>
        <v>Strong</v>
      </c>
      <c r="Q29" s="5" t="s">
        <v>2349</v>
      </c>
      <c r="R29" s="5" t="s">
        <v>2345</v>
      </c>
      <c r="S29" s="5" t="s">
        <v>2346</v>
      </c>
    </row>
    <row r="30" spans="1:19" ht="69">
      <c r="A30" s="5" t="s">
        <v>1226</v>
      </c>
      <c r="B30" s="5" t="s">
        <v>105</v>
      </c>
      <c r="C30" s="5">
        <v>2</v>
      </c>
      <c r="D30" s="5">
        <v>0</v>
      </c>
      <c r="E30" s="5">
        <v>2</v>
      </c>
      <c r="F30" s="5">
        <v>2</v>
      </c>
      <c r="G30" s="5">
        <v>2</v>
      </c>
      <c r="H30" s="5">
        <v>2</v>
      </c>
      <c r="I30" s="5">
        <v>2</v>
      </c>
      <c r="J30" s="5">
        <v>2</v>
      </c>
      <c r="K30" s="5">
        <v>2</v>
      </c>
      <c r="L30" s="5">
        <v>2</v>
      </c>
      <c r="M30" s="5">
        <v>2</v>
      </c>
      <c r="N30" s="5">
        <v>2</v>
      </c>
      <c r="O30" s="5">
        <f t="shared" si="0"/>
        <v>22</v>
      </c>
      <c r="P30" s="5" t="str">
        <f t="shared" si="1"/>
        <v>Strong</v>
      </c>
      <c r="Q30" s="5" t="s">
        <v>2351</v>
      </c>
      <c r="R30" s="5" t="s">
        <v>2345</v>
      </c>
      <c r="S30" s="5" t="s">
        <v>2346</v>
      </c>
    </row>
    <row r="31" spans="1:19" ht="69">
      <c r="A31" s="5" t="s">
        <v>1264</v>
      </c>
      <c r="B31" s="5" t="s">
        <v>105</v>
      </c>
      <c r="C31" s="5">
        <v>2</v>
      </c>
      <c r="D31" s="5">
        <v>2</v>
      </c>
      <c r="E31" s="5">
        <v>0</v>
      </c>
      <c r="F31" s="5">
        <v>2</v>
      </c>
      <c r="G31" s="5">
        <v>2</v>
      </c>
      <c r="H31" s="5">
        <v>2</v>
      </c>
      <c r="I31" s="5">
        <v>2</v>
      </c>
      <c r="J31" s="5">
        <v>2</v>
      </c>
      <c r="K31" s="5">
        <v>2</v>
      </c>
      <c r="L31" s="5">
        <v>2</v>
      </c>
      <c r="M31" s="5">
        <v>2</v>
      </c>
      <c r="N31" s="5">
        <v>2</v>
      </c>
      <c r="O31" s="5">
        <f t="shared" si="0"/>
        <v>22</v>
      </c>
      <c r="P31" s="5" t="str">
        <f t="shared" si="1"/>
        <v>Strong</v>
      </c>
      <c r="Q31" s="5" t="s">
        <v>2344</v>
      </c>
      <c r="R31" s="5" t="s">
        <v>2345</v>
      </c>
      <c r="S31" s="5" t="s">
        <v>2346</v>
      </c>
    </row>
    <row r="32" spans="1:19" ht="69">
      <c r="A32" s="5" t="s">
        <v>1306</v>
      </c>
      <c r="B32" s="5" t="s">
        <v>105</v>
      </c>
      <c r="C32" s="5">
        <v>2</v>
      </c>
      <c r="D32" s="5">
        <v>2</v>
      </c>
      <c r="E32" s="5">
        <v>2</v>
      </c>
      <c r="F32" s="5">
        <v>2</v>
      </c>
      <c r="G32" s="5">
        <v>2</v>
      </c>
      <c r="H32" s="5">
        <v>2</v>
      </c>
      <c r="I32" s="5">
        <v>2</v>
      </c>
      <c r="J32" s="5">
        <v>2</v>
      </c>
      <c r="K32" s="5">
        <v>2</v>
      </c>
      <c r="L32" s="5">
        <v>2</v>
      </c>
      <c r="M32" s="5">
        <v>2</v>
      </c>
      <c r="N32" s="5">
        <v>2</v>
      </c>
      <c r="O32" s="5">
        <f t="shared" si="0"/>
        <v>24</v>
      </c>
      <c r="P32" s="5" t="str">
        <f t="shared" si="1"/>
        <v>Strong</v>
      </c>
      <c r="Q32" s="5" t="s">
        <v>2349</v>
      </c>
      <c r="R32" s="5" t="s">
        <v>2345</v>
      </c>
      <c r="S32" s="5" t="s">
        <v>2346</v>
      </c>
    </row>
    <row r="33" spans="1:19" ht="69">
      <c r="A33" s="5" t="s">
        <v>1342</v>
      </c>
      <c r="B33" s="5" t="s">
        <v>105</v>
      </c>
      <c r="C33" s="5">
        <v>2</v>
      </c>
      <c r="D33" s="5">
        <v>2</v>
      </c>
      <c r="E33" s="5">
        <v>0</v>
      </c>
      <c r="F33" s="5">
        <v>2</v>
      </c>
      <c r="G33" s="5">
        <v>2</v>
      </c>
      <c r="H33" s="5">
        <v>2</v>
      </c>
      <c r="I33" s="5">
        <v>2</v>
      </c>
      <c r="J33" s="5">
        <v>2</v>
      </c>
      <c r="K33" s="5">
        <v>2</v>
      </c>
      <c r="L33" s="5">
        <v>2</v>
      </c>
      <c r="M33" s="5">
        <v>2</v>
      </c>
      <c r="N33" s="5">
        <v>2</v>
      </c>
      <c r="O33" s="5">
        <f t="shared" si="0"/>
        <v>22</v>
      </c>
      <c r="P33" s="5" t="str">
        <f t="shared" si="1"/>
        <v>Strong</v>
      </c>
      <c r="Q33" s="5" t="s">
        <v>2344</v>
      </c>
      <c r="R33" s="5" t="s">
        <v>2345</v>
      </c>
      <c r="S33" s="5" t="s">
        <v>2346</v>
      </c>
    </row>
    <row r="34" spans="1:19" ht="69">
      <c r="A34" s="5" t="s">
        <v>1374</v>
      </c>
      <c r="B34" s="5" t="s">
        <v>105</v>
      </c>
      <c r="C34" s="5">
        <v>2</v>
      </c>
      <c r="D34" s="5">
        <v>2</v>
      </c>
      <c r="E34" s="5">
        <v>0</v>
      </c>
      <c r="F34" s="5">
        <v>2</v>
      </c>
      <c r="G34" s="5">
        <v>2</v>
      </c>
      <c r="H34" s="5">
        <v>0</v>
      </c>
      <c r="I34" s="5">
        <v>2</v>
      </c>
      <c r="J34" s="5">
        <v>2</v>
      </c>
      <c r="K34" s="5">
        <v>2</v>
      </c>
      <c r="L34" s="5">
        <v>2</v>
      </c>
      <c r="M34" s="5">
        <v>2</v>
      </c>
      <c r="N34" s="5">
        <v>2</v>
      </c>
      <c r="O34" s="5">
        <f t="shared" ref="O34:O65" si="2">IF(COUNT(C34:N34)=0,"",SUM(C34:N34))</f>
        <v>20</v>
      </c>
      <c r="P34" s="5" t="str">
        <f t="shared" ref="P34:P65" si="3">IF(O34="","Not Scored",IF(O34&gt;=20,"Strong",IF(O34&gt;=14,"Moderate","Weak")))</f>
        <v>Strong</v>
      </c>
      <c r="Q34" s="5" t="s">
        <v>2344</v>
      </c>
      <c r="R34" s="5" t="s">
        <v>2345</v>
      </c>
      <c r="S34" s="5" t="s">
        <v>2346</v>
      </c>
    </row>
    <row r="35" spans="1:19" ht="69">
      <c r="A35" s="5" t="s">
        <v>1401</v>
      </c>
      <c r="B35" s="5" t="s">
        <v>105</v>
      </c>
      <c r="C35" s="5">
        <v>2</v>
      </c>
      <c r="D35" s="5">
        <v>2</v>
      </c>
      <c r="E35" s="5">
        <v>0</v>
      </c>
      <c r="F35" s="5">
        <v>2</v>
      </c>
      <c r="G35" s="5">
        <v>2</v>
      </c>
      <c r="H35" s="5">
        <v>0</v>
      </c>
      <c r="I35" s="5">
        <v>2</v>
      </c>
      <c r="J35" s="5">
        <v>2</v>
      </c>
      <c r="K35" s="5">
        <v>2</v>
      </c>
      <c r="L35" s="5">
        <v>2</v>
      </c>
      <c r="M35" s="5">
        <v>2</v>
      </c>
      <c r="N35" s="5">
        <v>2</v>
      </c>
      <c r="O35" s="5">
        <f t="shared" si="2"/>
        <v>20</v>
      </c>
      <c r="P35" s="5" t="str">
        <f t="shared" si="3"/>
        <v>Strong</v>
      </c>
      <c r="Q35" s="5" t="s">
        <v>2344</v>
      </c>
      <c r="R35" s="5" t="s">
        <v>2345</v>
      </c>
      <c r="S35" s="5" t="s">
        <v>2346</v>
      </c>
    </row>
    <row r="36" spans="1:19" ht="69">
      <c r="A36" s="5" t="s">
        <v>1433</v>
      </c>
      <c r="B36" s="5" t="s">
        <v>105</v>
      </c>
      <c r="C36" s="5">
        <v>1</v>
      </c>
      <c r="D36" s="5">
        <v>2</v>
      </c>
      <c r="E36" s="5">
        <v>1</v>
      </c>
      <c r="F36" s="5">
        <v>2</v>
      </c>
      <c r="G36" s="5">
        <v>2</v>
      </c>
      <c r="H36" s="5">
        <v>2</v>
      </c>
      <c r="I36" s="5">
        <v>2</v>
      </c>
      <c r="J36" s="5">
        <v>2</v>
      </c>
      <c r="K36" s="5">
        <v>2</v>
      </c>
      <c r="L36" s="5">
        <v>2</v>
      </c>
      <c r="M36" s="5">
        <v>2</v>
      </c>
      <c r="N36" s="5">
        <v>2</v>
      </c>
      <c r="O36" s="5">
        <f t="shared" si="2"/>
        <v>22</v>
      </c>
      <c r="P36" s="5" t="str">
        <f t="shared" si="3"/>
        <v>Strong</v>
      </c>
      <c r="Q36" s="5" t="s">
        <v>2344</v>
      </c>
      <c r="R36" s="5" t="s">
        <v>2345</v>
      </c>
      <c r="S36" s="5" t="s">
        <v>2346</v>
      </c>
    </row>
    <row r="37" spans="1:19" ht="69">
      <c r="A37" s="5" t="s">
        <v>1468</v>
      </c>
      <c r="B37" s="5" t="s">
        <v>105</v>
      </c>
      <c r="C37" s="5">
        <v>2</v>
      </c>
      <c r="D37" s="5">
        <v>2</v>
      </c>
      <c r="E37" s="5">
        <v>0</v>
      </c>
      <c r="F37" s="5">
        <v>2</v>
      </c>
      <c r="G37" s="5">
        <v>2</v>
      </c>
      <c r="H37" s="5">
        <v>0</v>
      </c>
      <c r="I37" s="5">
        <v>2</v>
      </c>
      <c r="J37" s="5">
        <v>2</v>
      </c>
      <c r="K37" s="5">
        <v>2</v>
      </c>
      <c r="L37" s="5">
        <v>2</v>
      </c>
      <c r="M37" s="5">
        <v>2</v>
      </c>
      <c r="N37" s="5">
        <v>2</v>
      </c>
      <c r="O37" s="5">
        <f t="shared" si="2"/>
        <v>20</v>
      </c>
      <c r="P37" s="5" t="str">
        <f t="shared" si="3"/>
        <v>Strong</v>
      </c>
      <c r="Q37" s="5" t="s">
        <v>2344</v>
      </c>
      <c r="R37" s="5" t="s">
        <v>2345</v>
      </c>
      <c r="S37" s="5" t="s">
        <v>2346</v>
      </c>
    </row>
    <row r="38" spans="1:19" ht="82.8">
      <c r="A38" s="5" t="s">
        <v>1503</v>
      </c>
      <c r="B38" s="5" t="s">
        <v>105</v>
      </c>
      <c r="C38" s="5">
        <v>2</v>
      </c>
      <c r="D38" s="5">
        <v>0</v>
      </c>
      <c r="E38" s="5">
        <v>0</v>
      </c>
      <c r="F38" s="5">
        <v>2</v>
      </c>
      <c r="G38" s="5">
        <v>2</v>
      </c>
      <c r="H38" s="5">
        <v>0</v>
      </c>
      <c r="I38" s="5">
        <v>2</v>
      </c>
      <c r="J38" s="5">
        <v>2</v>
      </c>
      <c r="K38" s="5">
        <v>2</v>
      </c>
      <c r="L38" s="5">
        <v>2</v>
      </c>
      <c r="M38" s="5">
        <v>2</v>
      </c>
      <c r="N38" s="5">
        <v>2</v>
      </c>
      <c r="O38" s="5">
        <f t="shared" si="2"/>
        <v>18</v>
      </c>
      <c r="P38" s="5" t="str">
        <f t="shared" si="3"/>
        <v>Moderate</v>
      </c>
      <c r="Q38" s="5" t="s">
        <v>2350</v>
      </c>
      <c r="R38" s="5" t="s">
        <v>2348</v>
      </c>
      <c r="S38" s="5" t="s">
        <v>2346</v>
      </c>
    </row>
    <row r="39" spans="1:19" ht="82.8">
      <c r="A39" s="5" t="s">
        <v>1536</v>
      </c>
      <c r="B39" s="5" t="s">
        <v>105</v>
      </c>
      <c r="C39" s="5">
        <v>2</v>
      </c>
      <c r="D39" s="5">
        <v>0</v>
      </c>
      <c r="E39" s="5">
        <v>0</v>
      </c>
      <c r="F39" s="5">
        <v>2</v>
      </c>
      <c r="G39" s="5">
        <v>2</v>
      </c>
      <c r="H39" s="5">
        <v>2</v>
      </c>
      <c r="I39" s="5">
        <v>2</v>
      </c>
      <c r="J39" s="5">
        <v>2</v>
      </c>
      <c r="K39" s="5">
        <v>0</v>
      </c>
      <c r="L39" s="5">
        <v>2</v>
      </c>
      <c r="M39" s="5">
        <v>2</v>
      </c>
      <c r="N39" s="5">
        <v>0</v>
      </c>
      <c r="O39" s="5">
        <f t="shared" si="2"/>
        <v>16</v>
      </c>
      <c r="P39" s="5" t="str">
        <f t="shared" si="3"/>
        <v>Moderate</v>
      </c>
      <c r="Q39" s="5" t="s">
        <v>2350</v>
      </c>
      <c r="R39" s="5" t="s">
        <v>2348</v>
      </c>
      <c r="S39" s="5" t="s">
        <v>2346</v>
      </c>
    </row>
    <row r="40" spans="1:19" ht="69">
      <c r="A40" s="5" t="s">
        <v>1570</v>
      </c>
      <c r="B40" s="5" t="s">
        <v>105</v>
      </c>
      <c r="C40" s="5">
        <v>2</v>
      </c>
      <c r="D40" s="5">
        <v>2</v>
      </c>
      <c r="E40" s="5">
        <v>2</v>
      </c>
      <c r="F40" s="5">
        <v>2</v>
      </c>
      <c r="G40" s="5">
        <v>2</v>
      </c>
      <c r="H40" s="5">
        <v>2</v>
      </c>
      <c r="I40" s="5">
        <v>2</v>
      </c>
      <c r="J40" s="5">
        <v>2</v>
      </c>
      <c r="K40" s="5">
        <v>2</v>
      </c>
      <c r="L40" s="5">
        <v>2</v>
      </c>
      <c r="M40" s="5">
        <v>2</v>
      </c>
      <c r="N40" s="5">
        <v>2</v>
      </c>
      <c r="O40" s="5">
        <f t="shared" si="2"/>
        <v>24</v>
      </c>
      <c r="P40" s="5" t="str">
        <f t="shared" si="3"/>
        <v>Strong</v>
      </c>
      <c r="Q40" s="5" t="s">
        <v>2349</v>
      </c>
      <c r="R40" s="5" t="s">
        <v>2345</v>
      </c>
      <c r="S40" s="5" t="s">
        <v>2346</v>
      </c>
    </row>
    <row r="41" spans="1:19" ht="69">
      <c r="A41" s="5" t="s">
        <v>1606</v>
      </c>
      <c r="B41" s="5" t="s">
        <v>105</v>
      </c>
      <c r="C41" s="5">
        <v>1</v>
      </c>
      <c r="D41" s="5">
        <v>2</v>
      </c>
      <c r="E41" s="5">
        <v>0</v>
      </c>
      <c r="F41" s="5">
        <v>2</v>
      </c>
      <c r="G41" s="5">
        <v>2</v>
      </c>
      <c r="H41" s="5">
        <v>2</v>
      </c>
      <c r="I41" s="5">
        <v>2</v>
      </c>
      <c r="J41" s="5">
        <v>2</v>
      </c>
      <c r="K41" s="5">
        <v>2</v>
      </c>
      <c r="L41" s="5">
        <v>2</v>
      </c>
      <c r="M41" s="5">
        <v>2</v>
      </c>
      <c r="N41" s="5">
        <v>2</v>
      </c>
      <c r="O41" s="5">
        <f t="shared" si="2"/>
        <v>21</v>
      </c>
      <c r="P41" s="5" t="str">
        <f t="shared" si="3"/>
        <v>Strong</v>
      </c>
      <c r="Q41" s="5" t="s">
        <v>2344</v>
      </c>
      <c r="R41" s="5" t="s">
        <v>2345</v>
      </c>
      <c r="S41" s="5" t="s">
        <v>2346</v>
      </c>
    </row>
    <row r="42" spans="1:19" ht="82.8">
      <c r="A42" s="5" t="s">
        <v>1642</v>
      </c>
      <c r="B42" s="5" t="s">
        <v>105</v>
      </c>
      <c r="C42" s="5">
        <v>2</v>
      </c>
      <c r="D42" s="5">
        <v>0</v>
      </c>
      <c r="E42" s="5">
        <v>0</v>
      </c>
      <c r="F42" s="5">
        <v>2</v>
      </c>
      <c r="G42" s="5">
        <v>2</v>
      </c>
      <c r="H42" s="5">
        <v>2</v>
      </c>
      <c r="I42" s="5">
        <v>2</v>
      </c>
      <c r="J42" s="5">
        <v>2</v>
      </c>
      <c r="K42" s="5">
        <v>2</v>
      </c>
      <c r="L42" s="5">
        <v>2</v>
      </c>
      <c r="M42" s="5">
        <v>1</v>
      </c>
      <c r="N42" s="5">
        <v>2</v>
      </c>
      <c r="O42" s="5">
        <f t="shared" si="2"/>
        <v>19</v>
      </c>
      <c r="P42" s="5" t="str">
        <f t="shared" si="3"/>
        <v>Moderate</v>
      </c>
      <c r="Q42" s="5" t="s">
        <v>2350</v>
      </c>
      <c r="R42" s="5" t="s">
        <v>2348</v>
      </c>
      <c r="S42" s="5" t="s">
        <v>2346</v>
      </c>
    </row>
    <row r="43" spans="1:19" ht="69">
      <c r="A43" s="5" t="s">
        <v>1672</v>
      </c>
      <c r="B43" s="5" t="s">
        <v>105</v>
      </c>
      <c r="C43" s="5">
        <v>2</v>
      </c>
      <c r="D43" s="5">
        <v>2</v>
      </c>
      <c r="E43" s="5">
        <v>1</v>
      </c>
      <c r="F43" s="5">
        <v>2</v>
      </c>
      <c r="G43" s="5">
        <v>2</v>
      </c>
      <c r="H43" s="5">
        <v>2</v>
      </c>
      <c r="I43" s="5">
        <v>2</v>
      </c>
      <c r="J43" s="5">
        <v>2</v>
      </c>
      <c r="K43" s="5">
        <v>2</v>
      </c>
      <c r="L43" s="5">
        <v>2</v>
      </c>
      <c r="M43" s="5">
        <v>2</v>
      </c>
      <c r="N43" s="5">
        <v>2</v>
      </c>
      <c r="O43" s="5">
        <f t="shared" si="2"/>
        <v>23</v>
      </c>
      <c r="P43" s="5" t="str">
        <f t="shared" si="3"/>
        <v>Strong</v>
      </c>
      <c r="Q43" s="5" t="s">
        <v>2344</v>
      </c>
      <c r="R43" s="5" t="s">
        <v>2345</v>
      </c>
      <c r="S43" s="5" t="s">
        <v>2346</v>
      </c>
    </row>
    <row r="44" spans="1:19" ht="69">
      <c r="A44" s="5" t="s">
        <v>1707</v>
      </c>
      <c r="B44" s="5" t="s">
        <v>105</v>
      </c>
      <c r="C44" s="5">
        <v>2</v>
      </c>
      <c r="D44" s="5">
        <v>2</v>
      </c>
      <c r="E44" s="5">
        <v>2</v>
      </c>
      <c r="F44" s="5">
        <v>2</v>
      </c>
      <c r="G44" s="5">
        <v>2</v>
      </c>
      <c r="H44" s="5">
        <v>2</v>
      </c>
      <c r="I44" s="5">
        <v>2</v>
      </c>
      <c r="J44" s="5">
        <v>2</v>
      </c>
      <c r="K44" s="5">
        <v>2</v>
      </c>
      <c r="L44" s="5">
        <v>2</v>
      </c>
      <c r="M44" s="5">
        <v>2</v>
      </c>
      <c r="N44" s="5">
        <v>2</v>
      </c>
      <c r="O44" s="5">
        <f t="shared" si="2"/>
        <v>24</v>
      </c>
      <c r="P44" s="5" t="str">
        <f t="shared" si="3"/>
        <v>Strong</v>
      </c>
      <c r="Q44" s="5" t="s">
        <v>2349</v>
      </c>
      <c r="R44" s="5" t="s">
        <v>2345</v>
      </c>
      <c r="S44" s="5" t="s">
        <v>2346</v>
      </c>
    </row>
    <row r="45" spans="1:19" ht="69">
      <c r="A45" s="5" t="s">
        <v>1747</v>
      </c>
      <c r="B45" s="5" t="s">
        <v>105</v>
      </c>
      <c r="C45" s="5">
        <v>2</v>
      </c>
      <c r="D45" s="5">
        <v>2</v>
      </c>
      <c r="E45" s="5">
        <v>2</v>
      </c>
      <c r="F45" s="5">
        <v>2</v>
      </c>
      <c r="G45" s="5">
        <v>2</v>
      </c>
      <c r="H45" s="5">
        <v>2</v>
      </c>
      <c r="I45" s="5">
        <v>2</v>
      </c>
      <c r="J45" s="5">
        <v>2</v>
      </c>
      <c r="K45" s="5">
        <v>2</v>
      </c>
      <c r="L45" s="5">
        <v>2</v>
      </c>
      <c r="M45" s="5">
        <v>2</v>
      </c>
      <c r="N45" s="5">
        <v>2</v>
      </c>
      <c r="O45" s="5">
        <f t="shared" si="2"/>
        <v>24</v>
      </c>
      <c r="P45" s="5" t="str">
        <f t="shared" si="3"/>
        <v>Strong</v>
      </c>
      <c r="Q45" s="5" t="s">
        <v>2349</v>
      </c>
      <c r="R45" s="5" t="s">
        <v>2345</v>
      </c>
      <c r="S45" s="5" t="s">
        <v>2346</v>
      </c>
    </row>
    <row r="46" spans="1:19" ht="69">
      <c r="A46" s="5" t="s">
        <v>1780</v>
      </c>
      <c r="B46" s="5" t="s">
        <v>105</v>
      </c>
      <c r="C46" s="5">
        <v>2</v>
      </c>
      <c r="D46" s="5">
        <v>0</v>
      </c>
      <c r="E46" s="5">
        <v>0</v>
      </c>
      <c r="F46" s="5">
        <v>2</v>
      </c>
      <c r="G46" s="5">
        <v>2</v>
      </c>
      <c r="H46" s="5">
        <v>2</v>
      </c>
      <c r="I46" s="5">
        <v>2</v>
      </c>
      <c r="J46" s="5">
        <v>2</v>
      </c>
      <c r="K46" s="5">
        <v>2</v>
      </c>
      <c r="L46" s="5">
        <v>2</v>
      </c>
      <c r="M46" s="5">
        <v>2</v>
      </c>
      <c r="N46" s="5">
        <v>2</v>
      </c>
      <c r="O46" s="5">
        <f t="shared" si="2"/>
        <v>20</v>
      </c>
      <c r="P46" s="5" t="str">
        <f t="shared" si="3"/>
        <v>Strong</v>
      </c>
      <c r="Q46" s="5" t="s">
        <v>2350</v>
      </c>
      <c r="R46" s="5" t="s">
        <v>2345</v>
      </c>
      <c r="S46" s="5" t="s">
        <v>2346</v>
      </c>
    </row>
    <row r="47" spans="1:19" ht="82.8">
      <c r="A47" s="5" t="s">
        <v>1812</v>
      </c>
      <c r="B47" s="5" t="s">
        <v>105</v>
      </c>
      <c r="C47" s="5">
        <v>2</v>
      </c>
      <c r="D47" s="5">
        <v>2</v>
      </c>
      <c r="E47" s="5">
        <v>0</v>
      </c>
      <c r="F47" s="5">
        <v>2</v>
      </c>
      <c r="G47" s="5">
        <v>2</v>
      </c>
      <c r="H47" s="5">
        <v>0</v>
      </c>
      <c r="I47" s="5">
        <v>2</v>
      </c>
      <c r="J47" s="5">
        <v>0</v>
      </c>
      <c r="K47" s="5">
        <v>2</v>
      </c>
      <c r="L47" s="5">
        <v>2</v>
      </c>
      <c r="M47" s="5">
        <v>2</v>
      </c>
      <c r="N47" s="5">
        <v>2</v>
      </c>
      <c r="O47" s="5">
        <f t="shared" si="2"/>
        <v>18</v>
      </c>
      <c r="P47" s="5" t="str">
        <f t="shared" si="3"/>
        <v>Moderate</v>
      </c>
      <c r="Q47" s="5" t="s">
        <v>2347</v>
      </c>
      <c r="R47" s="5" t="s">
        <v>2348</v>
      </c>
      <c r="S47" s="5" t="s">
        <v>2346</v>
      </c>
    </row>
    <row r="48" spans="1:19" ht="69">
      <c r="A48" s="5" t="s">
        <v>1843</v>
      </c>
      <c r="B48" s="5" t="s">
        <v>105</v>
      </c>
      <c r="C48" s="5">
        <v>2</v>
      </c>
      <c r="D48" s="5">
        <v>2</v>
      </c>
      <c r="E48" s="5">
        <v>0</v>
      </c>
      <c r="F48" s="5">
        <v>2</v>
      </c>
      <c r="G48" s="5">
        <v>2</v>
      </c>
      <c r="H48" s="5">
        <v>0</v>
      </c>
      <c r="I48" s="5">
        <v>2</v>
      </c>
      <c r="J48" s="5">
        <v>2</v>
      </c>
      <c r="K48" s="5">
        <v>2</v>
      </c>
      <c r="L48" s="5">
        <v>2</v>
      </c>
      <c r="M48" s="5">
        <v>2</v>
      </c>
      <c r="N48" s="5">
        <v>2</v>
      </c>
      <c r="O48" s="5">
        <f t="shared" si="2"/>
        <v>20</v>
      </c>
      <c r="P48" s="5" t="str">
        <f t="shared" si="3"/>
        <v>Strong</v>
      </c>
      <c r="Q48" s="5" t="s">
        <v>2344</v>
      </c>
      <c r="R48" s="5" t="s">
        <v>2345</v>
      </c>
      <c r="S48" s="5" t="s">
        <v>2346</v>
      </c>
    </row>
    <row r="49" spans="1:19" ht="69">
      <c r="A49" s="5" t="s">
        <v>1876</v>
      </c>
      <c r="B49" s="5" t="s">
        <v>105</v>
      </c>
      <c r="C49" s="5">
        <v>2</v>
      </c>
      <c r="D49" s="5">
        <v>2</v>
      </c>
      <c r="E49" s="5">
        <v>2</v>
      </c>
      <c r="F49" s="5">
        <v>2</v>
      </c>
      <c r="G49" s="5">
        <v>2</v>
      </c>
      <c r="H49" s="5">
        <v>2</v>
      </c>
      <c r="I49" s="5">
        <v>2</v>
      </c>
      <c r="J49" s="5">
        <v>2</v>
      </c>
      <c r="K49" s="5">
        <v>2</v>
      </c>
      <c r="L49" s="5">
        <v>2</v>
      </c>
      <c r="M49" s="5">
        <v>2</v>
      </c>
      <c r="N49" s="5">
        <v>2</v>
      </c>
      <c r="O49" s="5">
        <f t="shared" si="2"/>
        <v>24</v>
      </c>
      <c r="P49" s="5" t="str">
        <f t="shared" si="3"/>
        <v>Strong</v>
      </c>
      <c r="Q49" s="5" t="s">
        <v>2349</v>
      </c>
      <c r="R49" s="5" t="s">
        <v>2345</v>
      </c>
      <c r="S49" s="5" t="s">
        <v>2346</v>
      </c>
    </row>
    <row r="50" spans="1:19" ht="69">
      <c r="A50" s="5" t="s">
        <v>1918</v>
      </c>
      <c r="B50" s="5" t="s">
        <v>105</v>
      </c>
      <c r="C50" s="5">
        <v>2</v>
      </c>
      <c r="D50" s="5">
        <v>0</v>
      </c>
      <c r="E50" s="5">
        <v>2</v>
      </c>
      <c r="F50" s="5">
        <v>2</v>
      </c>
      <c r="G50" s="5">
        <v>2</v>
      </c>
      <c r="H50" s="5">
        <v>2</v>
      </c>
      <c r="I50" s="5">
        <v>2</v>
      </c>
      <c r="J50" s="5">
        <v>0</v>
      </c>
      <c r="K50" s="5">
        <v>2</v>
      </c>
      <c r="L50" s="5">
        <v>2</v>
      </c>
      <c r="M50" s="5">
        <v>2</v>
      </c>
      <c r="N50" s="5">
        <v>2</v>
      </c>
      <c r="O50" s="5">
        <f t="shared" si="2"/>
        <v>20</v>
      </c>
      <c r="P50" s="5" t="str">
        <f t="shared" si="3"/>
        <v>Strong</v>
      </c>
      <c r="Q50" s="5" t="s">
        <v>2352</v>
      </c>
      <c r="R50" s="5" t="s">
        <v>2345</v>
      </c>
      <c r="S50" s="5" t="s">
        <v>2346</v>
      </c>
    </row>
    <row r="51" spans="1:19" ht="69">
      <c r="A51" s="5" t="s">
        <v>1960</v>
      </c>
      <c r="B51" s="5" t="s">
        <v>105</v>
      </c>
      <c r="C51" s="5">
        <v>2</v>
      </c>
      <c r="D51" s="5">
        <v>2</v>
      </c>
      <c r="E51" s="5">
        <v>2</v>
      </c>
      <c r="F51" s="5">
        <v>2</v>
      </c>
      <c r="G51" s="5">
        <v>2</v>
      </c>
      <c r="H51" s="5">
        <v>2</v>
      </c>
      <c r="I51" s="5">
        <v>2</v>
      </c>
      <c r="J51" s="5">
        <v>2</v>
      </c>
      <c r="K51" s="5">
        <v>2</v>
      </c>
      <c r="L51" s="5">
        <v>2</v>
      </c>
      <c r="M51" s="5">
        <v>2</v>
      </c>
      <c r="N51" s="5">
        <v>2</v>
      </c>
      <c r="O51" s="5">
        <f t="shared" si="2"/>
        <v>24</v>
      </c>
      <c r="P51" s="5" t="str">
        <f t="shared" si="3"/>
        <v>Strong</v>
      </c>
      <c r="Q51" s="5" t="s">
        <v>2349</v>
      </c>
      <c r="R51" s="5" t="s">
        <v>2345</v>
      </c>
      <c r="S51" s="5" t="s">
        <v>2346</v>
      </c>
    </row>
  </sheetData>
  <conditionalFormatting sqref="O2:O51">
    <cfRule type="dataBar" priority="1">
      <dataBar>
        <cfvo type="min"/>
        <cfvo type="max"/>
        <color rgb="FF70AD47"/>
      </dataBar>
    </cfRule>
    <cfRule type="dataBar" priority="2">
      <dataBar>
        <cfvo type="min"/>
        <cfvo type="max"/>
        <color rgb="FF70AD47"/>
      </dataBar>
      <extLst>
        <ext xmlns:x14="http://schemas.microsoft.com/office/spreadsheetml/2009/9/main" uri="{B025F937-C7B1-47D3-B67F-A62EFF666E3E}">
          <x14:id>{5A9F9854-C52B-A0E1-576C-FB4A2AB8DEAA}</x14:id>
        </ext>
      </extLst>
    </cfRule>
  </conditionalFormatting>
  <dataValidations count="1">
    <dataValidation type="list" sqref="B2:B51" xr:uid="{00000000-0002-0000-0300-000001000000}">
      <formula1>"Not Scored,Scored,Needs Review"</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A9F9854-C52B-A0E1-576C-FB4A2AB8DEAA}">
            <x14:dataBar>
              <x14:cfvo type="min"/>
              <x14:cfvo type="max"/>
              <x14:negativeFillColor auto="1"/>
              <x14:axisColor auto="1"/>
            </x14:dataBar>
          </x14:cfRule>
          <xm:sqref>O2:O51</xm:sqref>
        </x14:conditionalFormatting>
      </x14:conditionalFormattings>
    </ext>
    <ext xmlns:x14="http://schemas.microsoft.com/office/spreadsheetml/2009/9/main" uri="{CCE6A557-97BC-4b89-ADB6-D9C93CAAB3DF}">
      <x14:dataValidations xmlns:xm="http://schemas.microsoft.com/office/excel/2006/main" count="1">
        <x14:dataValidation type="list" xr:uid="{00000000-0002-0000-0300-000000000000}">
          <x14:formula1>
            <xm:f>Controlled_Vocab!$O$2:$O$4</xm:f>
          </x14:formula1>
          <xm:sqref>C2:N51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workbookViewId="0"/>
  </sheetViews>
  <sheetFormatPr defaultRowHeight="13.8"/>
  <cols>
    <col min="1" max="1" width="18" customWidth="1"/>
    <col min="2" max="2" width="30" customWidth="1"/>
    <col min="3" max="3" width="50" customWidth="1"/>
    <col min="4" max="5" width="40" customWidth="1"/>
    <col min="6" max="6" width="35" customWidth="1"/>
    <col min="7" max="8" width="24" customWidth="1"/>
  </cols>
  <sheetData>
    <row r="1" spans="1:8">
      <c r="A1" s="4" t="s">
        <v>1992</v>
      </c>
      <c r="B1" s="4" t="s">
        <v>2353</v>
      </c>
      <c r="C1" s="4" t="s">
        <v>2354</v>
      </c>
      <c r="D1" s="4" t="s">
        <v>2355</v>
      </c>
      <c r="E1" s="4" t="s">
        <v>2356</v>
      </c>
      <c r="F1" s="4" t="s">
        <v>2357</v>
      </c>
      <c r="G1" s="4" t="s">
        <v>2358</v>
      </c>
      <c r="H1" s="4" t="s">
        <v>2359</v>
      </c>
    </row>
    <row r="2" spans="1:8" ht="27.6">
      <c r="A2" s="5" t="s">
        <v>454</v>
      </c>
      <c r="B2" s="5" t="s">
        <v>2360</v>
      </c>
      <c r="C2" s="5" t="s">
        <v>2361</v>
      </c>
      <c r="D2" s="5" t="s">
        <v>2362</v>
      </c>
      <c r="E2" s="5" t="s">
        <v>2363</v>
      </c>
      <c r="F2" s="5" t="s">
        <v>2364</v>
      </c>
      <c r="G2" s="5" t="s">
        <v>2365</v>
      </c>
      <c r="H2" s="5" t="s">
        <v>196</v>
      </c>
    </row>
    <row r="3" spans="1:8" ht="27.6">
      <c r="A3" s="5" t="s">
        <v>530</v>
      </c>
      <c r="B3" s="5" t="s">
        <v>2366</v>
      </c>
      <c r="C3" s="5" t="s">
        <v>2367</v>
      </c>
      <c r="D3" s="5" t="s">
        <v>2368</v>
      </c>
      <c r="E3" s="5" t="s">
        <v>2369</v>
      </c>
      <c r="F3" s="5" t="s">
        <v>2370</v>
      </c>
      <c r="G3" s="5" t="s">
        <v>2371</v>
      </c>
      <c r="H3" s="5" t="s">
        <v>2372</v>
      </c>
    </row>
    <row r="4" spans="1:8" ht="27.6">
      <c r="A4" s="5" t="s">
        <v>1099</v>
      </c>
      <c r="B4" s="5" t="s">
        <v>2373</v>
      </c>
      <c r="C4" s="5" t="s">
        <v>2374</v>
      </c>
      <c r="D4" s="5" t="s">
        <v>2375</v>
      </c>
      <c r="E4" s="5" t="s">
        <v>2376</v>
      </c>
      <c r="F4" s="5" t="s">
        <v>2377</v>
      </c>
      <c r="G4" s="5" t="s">
        <v>2378</v>
      </c>
      <c r="H4" s="5" t="s">
        <v>455</v>
      </c>
    </row>
    <row r="5" spans="1:8" ht="27.6">
      <c r="A5" s="5" t="s">
        <v>711</v>
      </c>
      <c r="B5" s="5" t="s">
        <v>2379</v>
      </c>
      <c r="C5" s="5" t="s">
        <v>2380</v>
      </c>
      <c r="D5" s="5" t="s">
        <v>2381</v>
      </c>
      <c r="E5" s="5" t="s">
        <v>2382</v>
      </c>
      <c r="F5" s="5" t="s">
        <v>2383</v>
      </c>
      <c r="G5" s="5" t="s">
        <v>2378</v>
      </c>
      <c r="H5" s="5" t="s">
        <v>455</v>
      </c>
    </row>
    <row r="6" spans="1:8" ht="27.6">
      <c r="A6" s="5" t="s">
        <v>252</v>
      </c>
      <c r="B6" s="5" t="s">
        <v>583</v>
      </c>
      <c r="C6" s="5" t="s">
        <v>2384</v>
      </c>
      <c r="D6" s="5" t="s">
        <v>2385</v>
      </c>
      <c r="E6" s="5" t="s">
        <v>2386</v>
      </c>
      <c r="F6" s="5" t="s">
        <v>2387</v>
      </c>
      <c r="G6" s="5" t="s">
        <v>2371</v>
      </c>
      <c r="H6" s="5" t="s">
        <v>455</v>
      </c>
    </row>
    <row r="7" spans="1:8" ht="27.6">
      <c r="A7" s="5" t="s">
        <v>386</v>
      </c>
      <c r="B7" s="5" t="s">
        <v>2388</v>
      </c>
      <c r="C7" s="5" t="s">
        <v>2389</v>
      </c>
      <c r="D7" s="5" t="s">
        <v>2390</v>
      </c>
      <c r="E7" s="5" t="s">
        <v>2391</v>
      </c>
      <c r="F7" s="5" t="s">
        <v>2392</v>
      </c>
      <c r="G7" s="5" t="s">
        <v>2393</v>
      </c>
      <c r="H7" s="5" t="s">
        <v>455</v>
      </c>
    </row>
    <row r="8" spans="1:8" ht="27.6">
      <c r="A8" s="5" t="s">
        <v>2394</v>
      </c>
      <c r="B8" s="5" t="s">
        <v>2395</v>
      </c>
      <c r="C8" s="5" t="s">
        <v>2396</v>
      </c>
      <c r="D8" s="5" t="s">
        <v>2397</v>
      </c>
      <c r="E8" s="5" t="s">
        <v>2398</v>
      </c>
      <c r="F8" s="5" t="s">
        <v>2399</v>
      </c>
      <c r="G8" s="5" t="s">
        <v>2393</v>
      </c>
      <c r="H8" s="5" t="s">
        <v>455</v>
      </c>
    </row>
    <row r="9" spans="1:8" ht="27.6">
      <c r="A9" s="5" t="s">
        <v>1223</v>
      </c>
      <c r="B9" s="5" t="s">
        <v>2400</v>
      </c>
      <c r="C9" s="5" t="s">
        <v>2401</v>
      </c>
      <c r="D9" s="5" t="s">
        <v>2402</v>
      </c>
      <c r="E9" s="5" t="s">
        <v>2403</v>
      </c>
      <c r="F9" s="5" t="s">
        <v>2404</v>
      </c>
      <c r="G9" s="5" t="s">
        <v>2393</v>
      </c>
      <c r="H9" s="5" t="s">
        <v>455</v>
      </c>
    </row>
    <row r="10" spans="1:8" ht="27.6">
      <c r="A10" s="5" t="s">
        <v>340</v>
      </c>
      <c r="B10" s="5" t="s">
        <v>2405</v>
      </c>
      <c r="C10" s="5" t="s">
        <v>2406</v>
      </c>
      <c r="D10" s="5" t="s">
        <v>2407</v>
      </c>
      <c r="E10" s="5" t="s">
        <v>2408</v>
      </c>
      <c r="F10" s="5" t="s">
        <v>2409</v>
      </c>
      <c r="G10" s="5" t="s">
        <v>2410</v>
      </c>
      <c r="H10" s="5" t="s">
        <v>455</v>
      </c>
    </row>
    <row r="11" spans="1:8" ht="27.6">
      <c r="A11" s="5" t="s">
        <v>195</v>
      </c>
      <c r="B11" s="5" t="s">
        <v>2411</v>
      </c>
      <c r="C11" s="5" t="s">
        <v>2412</v>
      </c>
      <c r="D11" s="5" t="s">
        <v>2413</v>
      </c>
      <c r="E11" s="5" t="s">
        <v>2414</v>
      </c>
      <c r="F11" s="5" t="s">
        <v>2415</v>
      </c>
      <c r="G11" s="5" t="s">
        <v>2410</v>
      </c>
      <c r="H11" s="5" t="s">
        <v>455</v>
      </c>
    </row>
    <row r="12" spans="1:8" ht="27.6">
      <c r="A12" s="5" t="s">
        <v>494</v>
      </c>
      <c r="B12" s="5" t="s">
        <v>2416</v>
      </c>
      <c r="C12" s="5" t="s">
        <v>2417</v>
      </c>
      <c r="D12" s="5" t="s">
        <v>2418</v>
      </c>
      <c r="E12" s="5" t="s">
        <v>2419</v>
      </c>
      <c r="F12" s="5" t="s">
        <v>2420</v>
      </c>
      <c r="G12" s="5" t="s">
        <v>2393</v>
      </c>
      <c r="H12" s="5" t="s">
        <v>455</v>
      </c>
    </row>
    <row r="13" spans="1:8" ht="27.6">
      <c r="A13" s="5" t="s">
        <v>493</v>
      </c>
      <c r="B13" s="5" t="s">
        <v>760</v>
      </c>
      <c r="C13" s="5" t="s">
        <v>2421</v>
      </c>
      <c r="D13" s="5" t="s">
        <v>2422</v>
      </c>
      <c r="E13" s="5" t="s">
        <v>2423</v>
      </c>
      <c r="F13" s="5" t="s">
        <v>2424</v>
      </c>
      <c r="G13" s="5" t="s">
        <v>2410</v>
      </c>
      <c r="H13" s="5" t="s">
        <v>455</v>
      </c>
    </row>
    <row r="14" spans="1:8" ht="27.6">
      <c r="A14" s="5" t="s">
        <v>251</v>
      </c>
      <c r="B14" s="5" t="s">
        <v>2425</v>
      </c>
      <c r="C14" s="5" t="s">
        <v>2426</v>
      </c>
      <c r="D14" s="5" t="s">
        <v>2427</v>
      </c>
      <c r="E14" s="5" t="s">
        <v>2428</v>
      </c>
      <c r="F14" s="5" t="s">
        <v>2429</v>
      </c>
      <c r="G14" s="5" t="s">
        <v>2430</v>
      </c>
      <c r="H14" s="5" t="s">
        <v>455</v>
      </c>
    </row>
    <row r="15" spans="1:8" ht="27.6">
      <c r="A15" s="5" t="s">
        <v>710</v>
      </c>
      <c r="B15" s="5" t="s">
        <v>2431</v>
      </c>
      <c r="C15" s="5" t="s">
        <v>2432</v>
      </c>
      <c r="D15" s="5" t="s">
        <v>2433</v>
      </c>
      <c r="E15" s="5" t="s">
        <v>2434</v>
      </c>
      <c r="F15" s="5" t="s">
        <v>2435</v>
      </c>
      <c r="G15" s="5" t="s">
        <v>2436</v>
      </c>
      <c r="H15" s="5" t="s">
        <v>455</v>
      </c>
    </row>
    <row r="16" spans="1:8" ht="27.6">
      <c r="A16" s="5" t="s">
        <v>155</v>
      </c>
      <c r="B16" s="5" t="s">
        <v>1509</v>
      </c>
      <c r="C16" s="5" t="s">
        <v>2437</v>
      </c>
      <c r="D16" s="5" t="s">
        <v>2438</v>
      </c>
      <c r="E16" s="5" t="s">
        <v>2439</v>
      </c>
      <c r="F16" s="5" t="s">
        <v>2440</v>
      </c>
      <c r="G16" s="5" t="s">
        <v>2441</v>
      </c>
      <c r="H16" s="5" t="s">
        <v>455</v>
      </c>
    </row>
    <row r="17" spans="1:8" ht="27.6">
      <c r="A17" s="5" t="s">
        <v>152</v>
      </c>
      <c r="B17" s="5" t="s">
        <v>119</v>
      </c>
      <c r="C17" s="5" t="s">
        <v>2442</v>
      </c>
      <c r="D17" s="5" t="s">
        <v>2443</v>
      </c>
      <c r="E17" s="5" t="s">
        <v>2444</v>
      </c>
      <c r="F17" s="5" t="s">
        <v>2445</v>
      </c>
      <c r="G17" s="5" t="s">
        <v>2446</v>
      </c>
      <c r="H17" s="5" t="s">
        <v>157</v>
      </c>
    </row>
    <row r="18" spans="1:8" ht="27.6">
      <c r="A18" s="5" t="s">
        <v>153</v>
      </c>
      <c r="B18" s="5" t="s">
        <v>2447</v>
      </c>
      <c r="C18" s="5" t="s">
        <v>2448</v>
      </c>
      <c r="D18" s="5" t="s">
        <v>2449</v>
      </c>
      <c r="E18" s="5" t="s">
        <v>2450</v>
      </c>
      <c r="F18" s="5" t="s">
        <v>2451</v>
      </c>
      <c r="G18" s="5" t="s">
        <v>2410</v>
      </c>
      <c r="H18" s="5" t="s">
        <v>455</v>
      </c>
    </row>
    <row r="19" spans="1:8" ht="27.6">
      <c r="A19" s="5" t="s">
        <v>1705</v>
      </c>
      <c r="B19" s="5" t="s">
        <v>2452</v>
      </c>
      <c r="C19" s="5" t="s">
        <v>2453</v>
      </c>
      <c r="D19" s="5" t="s">
        <v>2454</v>
      </c>
      <c r="E19" s="5" t="s">
        <v>2455</v>
      </c>
      <c r="F19" s="5" t="s">
        <v>2456</v>
      </c>
      <c r="G19" s="5" t="s">
        <v>2457</v>
      </c>
      <c r="H19" s="5" t="s">
        <v>455</v>
      </c>
    </row>
    <row r="20" spans="1:8" ht="27.6">
      <c r="A20" s="5" t="s">
        <v>569</v>
      </c>
      <c r="B20" s="5" t="s">
        <v>1885</v>
      </c>
      <c r="C20" s="5" t="s">
        <v>2458</v>
      </c>
      <c r="D20" s="5" t="s">
        <v>2459</v>
      </c>
      <c r="E20" s="5" t="s">
        <v>2460</v>
      </c>
      <c r="F20" s="5" t="s">
        <v>2461</v>
      </c>
      <c r="G20" s="5" t="s">
        <v>2462</v>
      </c>
      <c r="H20" s="5" t="s">
        <v>455</v>
      </c>
    </row>
    <row r="21" spans="1:8" ht="27.6">
      <c r="A21" s="5" t="s">
        <v>154</v>
      </c>
      <c r="B21" s="5" t="s">
        <v>427</v>
      </c>
      <c r="C21" s="5" t="s">
        <v>2463</v>
      </c>
      <c r="D21" s="5" t="s">
        <v>2464</v>
      </c>
      <c r="E21" s="5" t="s">
        <v>2465</v>
      </c>
      <c r="F21" s="5" t="s">
        <v>2466</v>
      </c>
      <c r="G21" s="5" t="s">
        <v>2467</v>
      </c>
      <c r="H21" s="5" t="s">
        <v>455</v>
      </c>
    </row>
    <row r="22" spans="1:8" ht="27.6">
      <c r="A22" s="5" t="s">
        <v>194</v>
      </c>
      <c r="B22" s="5" t="s">
        <v>168</v>
      </c>
      <c r="C22" s="5" t="s">
        <v>2468</v>
      </c>
      <c r="D22" s="5" t="s">
        <v>2469</v>
      </c>
      <c r="E22" s="5" t="s">
        <v>2470</v>
      </c>
      <c r="F22" s="5" t="s">
        <v>2471</v>
      </c>
      <c r="G22" s="5" t="s">
        <v>2365</v>
      </c>
      <c r="H22" s="5" t="s">
        <v>196</v>
      </c>
    </row>
    <row r="23" spans="1:8" ht="27.6">
      <c r="A23" s="5" t="s">
        <v>418</v>
      </c>
      <c r="B23" s="5" t="s">
        <v>2472</v>
      </c>
      <c r="C23" s="5" t="s">
        <v>2473</v>
      </c>
      <c r="D23" s="5" t="s">
        <v>2474</v>
      </c>
      <c r="E23" s="5" t="s">
        <v>2475</v>
      </c>
      <c r="F23" s="5" t="s">
        <v>2476</v>
      </c>
      <c r="G23" s="5" t="s">
        <v>2477</v>
      </c>
      <c r="H23" s="5" t="s">
        <v>2478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3"/>
  <sheetViews>
    <sheetView tabSelected="1" workbookViewId="0"/>
  </sheetViews>
  <sheetFormatPr defaultRowHeight="13.8"/>
  <cols>
    <col min="1" max="4" width="24" customWidth="1"/>
    <col min="5" max="8" width="42" customWidth="1"/>
    <col min="9" max="10" width="24" customWidth="1"/>
    <col min="11" max="12" width="42" customWidth="1"/>
    <col min="13" max="13" width="24" customWidth="1"/>
    <col min="14" max="15" width="42" customWidth="1"/>
  </cols>
  <sheetData>
    <row r="1" spans="1:15" ht="27.6">
      <c r="A1" s="4" t="s">
        <v>1992</v>
      </c>
      <c r="B1" s="4" t="s">
        <v>2353</v>
      </c>
      <c r="C1" s="4" t="s">
        <v>2479</v>
      </c>
      <c r="D1" s="4" t="s">
        <v>2480</v>
      </c>
      <c r="E1" s="4" t="s">
        <v>2481</v>
      </c>
      <c r="F1" s="4" t="s">
        <v>2482</v>
      </c>
      <c r="G1" s="4" t="s">
        <v>2483</v>
      </c>
      <c r="H1" s="4" t="s">
        <v>2484</v>
      </c>
      <c r="I1" s="4" t="s">
        <v>2485</v>
      </c>
      <c r="J1" s="4" t="s">
        <v>2486</v>
      </c>
      <c r="K1" s="4" t="s">
        <v>2487</v>
      </c>
      <c r="L1" s="4" t="s">
        <v>2488</v>
      </c>
      <c r="M1" s="4" t="s">
        <v>2489</v>
      </c>
      <c r="N1" s="4" t="s">
        <v>2490</v>
      </c>
      <c r="O1" s="4" t="s">
        <v>2491</v>
      </c>
    </row>
    <row r="2" spans="1:15" ht="317.39999999999998">
      <c r="A2" s="5" t="s">
        <v>454</v>
      </c>
      <c r="B2" s="5" t="s">
        <v>2360</v>
      </c>
      <c r="C2" s="5">
        <f>COUNTIF(Master_Extraction!$CG$2:$CJ$51,A2)</f>
        <v>1</v>
      </c>
      <c r="D2" s="5" t="s">
        <v>420</v>
      </c>
      <c r="E2" s="5" t="s">
        <v>2492</v>
      </c>
      <c r="F2" s="5" t="s">
        <v>2493</v>
      </c>
      <c r="G2" s="5" t="s">
        <v>108</v>
      </c>
      <c r="H2" s="5" t="s">
        <v>108</v>
      </c>
      <c r="I2" s="5" t="s">
        <v>2494</v>
      </c>
      <c r="J2" s="5" t="s">
        <v>2495</v>
      </c>
      <c r="K2" s="5" t="s">
        <v>2496</v>
      </c>
      <c r="L2" s="5" t="s">
        <v>108</v>
      </c>
      <c r="M2" s="5" t="s">
        <v>2360</v>
      </c>
      <c r="N2" s="5" t="s">
        <v>2497</v>
      </c>
      <c r="O2" s="5" t="s">
        <v>2498</v>
      </c>
    </row>
    <row r="3" spans="1:15" ht="409.6">
      <c r="A3" s="5" t="s">
        <v>530</v>
      </c>
      <c r="B3" s="5" t="s">
        <v>2366</v>
      </c>
      <c r="C3" s="5">
        <f>COUNTIF(Master_Extraction!$CG$2:$CJ$51,A3)</f>
        <v>10</v>
      </c>
      <c r="D3" s="5" t="s">
        <v>2499</v>
      </c>
      <c r="E3" s="5" t="s">
        <v>2500</v>
      </c>
      <c r="F3" s="5" t="s">
        <v>2501</v>
      </c>
      <c r="G3" s="5" t="s">
        <v>108</v>
      </c>
      <c r="H3" s="5" t="s">
        <v>2502</v>
      </c>
      <c r="I3" s="5" t="s">
        <v>2503</v>
      </c>
      <c r="J3" s="5" t="s">
        <v>191</v>
      </c>
      <c r="K3" s="5" t="s">
        <v>2504</v>
      </c>
      <c r="L3" s="5" t="s">
        <v>2505</v>
      </c>
      <c r="M3" s="5" t="s">
        <v>2366</v>
      </c>
      <c r="N3" s="5" t="s">
        <v>2506</v>
      </c>
      <c r="O3" s="5" t="s">
        <v>2498</v>
      </c>
    </row>
    <row r="4" spans="1:15" ht="409.6">
      <c r="A4" s="5" t="s">
        <v>1099</v>
      </c>
      <c r="B4" s="5" t="s">
        <v>2373</v>
      </c>
      <c r="C4" s="5">
        <f>COUNTIF(Master_Extraction!$CG$2:$CJ$51,A4)</f>
        <v>3</v>
      </c>
      <c r="D4" s="5" t="s">
        <v>2507</v>
      </c>
      <c r="E4" s="5" t="s">
        <v>2508</v>
      </c>
      <c r="F4" s="5" t="s">
        <v>2509</v>
      </c>
      <c r="G4" s="5" t="s">
        <v>108</v>
      </c>
      <c r="H4" s="5" t="s">
        <v>2510</v>
      </c>
      <c r="I4" s="5" t="s">
        <v>2511</v>
      </c>
      <c r="J4" s="5" t="s">
        <v>191</v>
      </c>
      <c r="K4" s="5" t="s">
        <v>2512</v>
      </c>
      <c r="L4" s="5" t="s">
        <v>2513</v>
      </c>
      <c r="M4" s="5" t="s">
        <v>2373</v>
      </c>
      <c r="N4" s="5" t="s">
        <v>2514</v>
      </c>
      <c r="O4" s="5" t="s">
        <v>2498</v>
      </c>
    </row>
    <row r="5" spans="1:15" ht="409.6">
      <c r="A5" s="5" t="s">
        <v>711</v>
      </c>
      <c r="B5" s="5" t="s">
        <v>2379</v>
      </c>
      <c r="C5" s="5">
        <f>COUNTIF(Master_Extraction!$CG$2:$CJ$51,A5)</f>
        <v>3</v>
      </c>
      <c r="D5" s="5" t="s">
        <v>2515</v>
      </c>
      <c r="E5" s="5" t="s">
        <v>2516</v>
      </c>
      <c r="F5" s="5" t="s">
        <v>2517</v>
      </c>
      <c r="G5" s="5" t="s">
        <v>108</v>
      </c>
      <c r="H5" s="5" t="s">
        <v>2518</v>
      </c>
      <c r="I5" s="5" t="s">
        <v>2519</v>
      </c>
      <c r="J5" s="5" t="s">
        <v>191</v>
      </c>
      <c r="K5" s="5" t="s">
        <v>2520</v>
      </c>
      <c r="L5" s="5" t="s">
        <v>2521</v>
      </c>
      <c r="M5" s="5" t="s">
        <v>2379</v>
      </c>
      <c r="N5" s="5" t="s">
        <v>2522</v>
      </c>
      <c r="O5" s="5" t="s">
        <v>2498</v>
      </c>
    </row>
    <row r="6" spans="1:15" ht="409.6">
      <c r="A6" s="5" t="s">
        <v>252</v>
      </c>
      <c r="B6" s="5" t="s">
        <v>583</v>
      </c>
      <c r="C6" s="5">
        <f>COUNTIF(Master_Extraction!$CG$2:$CJ$51,A6)</f>
        <v>15</v>
      </c>
      <c r="D6" s="5" t="s">
        <v>2523</v>
      </c>
      <c r="E6" s="5" t="s">
        <v>2524</v>
      </c>
      <c r="F6" s="5" t="s">
        <v>2525</v>
      </c>
      <c r="G6" s="5" t="s">
        <v>108</v>
      </c>
      <c r="H6" s="5" t="s">
        <v>2526</v>
      </c>
      <c r="I6" s="5" t="s">
        <v>2527</v>
      </c>
      <c r="J6" s="5" t="s">
        <v>191</v>
      </c>
      <c r="K6" s="5" t="s">
        <v>2528</v>
      </c>
      <c r="L6" s="5" t="s">
        <v>2529</v>
      </c>
      <c r="M6" s="5" t="s">
        <v>583</v>
      </c>
      <c r="N6" s="5" t="s">
        <v>2530</v>
      </c>
      <c r="O6" s="5" t="s">
        <v>2498</v>
      </c>
    </row>
    <row r="7" spans="1:15" ht="409.6">
      <c r="A7" s="5" t="s">
        <v>386</v>
      </c>
      <c r="B7" s="5" t="s">
        <v>2388</v>
      </c>
      <c r="C7" s="5">
        <f>COUNTIF(Master_Extraction!$CG$2:$CJ$51,A7)</f>
        <v>7</v>
      </c>
      <c r="D7" s="5" t="s">
        <v>2531</v>
      </c>
      <c r="E7" s="5" t="s">
        <v>2532</v>
      </c>
      <c r="F7" s="5" t="s">
        <v>2533</v>
      </c>
      <c r="G7" s="5" t="s">
        <v>108</v>
      </c>
      <c r="H7" s="5" t="s">
        <v>2534</v>
      </c>
      <c r="I7" s="5" t="s">
        <v>2535</v>
      </c>
      <c r="J7" s="5" t="s">
        <v>191</v>
      </c>
      <c r="K7" s="5" t="s">
        <v>2536</v>
      </c>
      <c r="L7" s="5" t="s">
        <v>2537</v>
      </c>
      <c r="M7" s="5" t="s">
        <v>2388</v>
      </c>
      <c r="N7" s="5" t="s">
        <v>2538</v>
      </c>
      <c r="O7" s="5" t="s">
        <v>2498</v>
      </c>
    </row>
    <row r="8" spans="1:15">
      <c r="A8" s="5" t="s">
        <v>2394</v>
      </c>
      <c r="B8" s="5" t="s">
        <v>2395</v>
      </c>
      <c r="C8" s="5">
        <f>COUNTIF(Master_Extraction!$CG$2:$CJ$51,A8)</f>
        <v>0</v>
      </c>
      <c r="D8" s="5" t="s">
        <v>108</v>
      </c>
      <c r="E8" s="5" t="s">
        <v>108</v>
      </c>
      <c r="F8" s="5" t="s">
        <v>108</v>
      </c>
      <c r="G8" s="5" t="s">
        <v>108</v>
      </c>
      <c r="H8" s="5" t="s">
        <v>108</v>
      </c>
      <c r="I8" s="5" t="s">
        <v>108</v>
      </c>
      <c r="J8" s="5" t="s">
        <v>108</v>
      </c>
      <c r="K8" s="5" t="s">
        <v>108</v>
      </c>
      <c r="L8" s="5" t="s">
        <v>108</v>
      </c>
      <c r="M8" s="5" t="s">
        <v>2395</v>
      </c>
      <c r="N8" s="5" t="s">
        <v>108</v>
      </c>
      <c r="O8" s="5" t="s">
        <v>108</v>
      </c>
    </row>
    <row r="9" spans="1:15" ht="409.6">
      <c r="A9" s="5" t="s">
        <v>1223</v>
      </c>
      <c r="B9" s="5" t="s">
        <v>2400</v>
      </c>
      <c r="C9" s="5">
        <f>COUNTIF(Master_Extraction!$CG$2:$CJ$51,A9)</f>
        <v>2</v>
      </c>
      <c r="D9" s="5" t="s">
        <v>2539</v>
      </c>
      <c r="E9" s="5" t="s">
        <v>2540</v>
      </c>
      <c r="F9" s="5" t="s">
        <v>2541</v>
      </c>
      <c r="G9" s="5" t="s">
        <v>108</v>
      </c>
      <c r="H9" s="5" t="s">
        <v>108</v>
      </c>
      <c r="I9" s="5" t="s">
        <v>2542</v>
      </c>
      <c r="J9" s="5" t="s">
        <v>2495</v>
      </c>
      <c r="K9" s="5" t="s">
        <v>2543</v>
      </c>
      <c r="L9" s="5" t="s">
        <v>2544</v>
      </c>
      <c r="M9" s="5" t="s">
        <v>2400</v>
      </c>
      <c r="N9" s="5" t="s">
        <v>2545</v>
      </c>
      <c r="O9" s="5" t="s">
        <v>2498</v>
      </c>
    </row>
    <row r="10" spans="1:15" ht="409.6">
      <c r="A10" s="5" t="s">
        <v>340</v>
      </c>
      <c r="B10" s="5" t="s">
        <v>2405</v>
      </c>
      <c r="C10" s="5">
        <f>COUNTIF(Master_Extraction!$CG$2:$CJ$51,A10)</f>
        <v>6</v>
      </c>
      <c r="D10" s="5" t="s">
        <v>2546</v>
      </c>
      <c r="E10" s="5" t="s">
        <v>2547</v>
      </c>
      <c r="F10" s="5" t="s">
        <v>2548</v>
      </c>
      <c r="G10" s="5" t="s">
        <v>108</v>
      </c>
      <c r="H10" s="5" t="s">
        <v>2549</v>
      </c>
      <c r="I10" s="5" t="s">
        <v>2550</v>
      </c>
      <c r="J10" s="5" t="s">
        <v>191</v>
      </c>
      <c r="K10" s="5" t="s">
        <v>2551</v>
      </c>
      <c r="L10" s="5" t="s">
        <v>2552</v>
      </c>
      <c r="M10" s="5" t="s">
        <v>2405</v>
      </c>
      <c r="N10" s="5" t="s">
        <v>2553</v>
      </c>
      <c r="O10" s="5" t="s">
        <v>2498</v>
      </c>
    </row>
    <row r="11" spans="1:15" ht="409.6">
      <c r="A11" s="5" t="s">
        <v>195</v>
      </c>
      <c r="B11" s="5" t="s">
        <v>2411</v>
      </c>
      <c r="C11" s="5">
        <f>COUNTIF(Master_Extraction!$CG$2:$CJ$51,A11)</f>
        <v>4</v>
      </c>
      <c r="D11" s="5" t="s">
        <v>2554</v>
      </c>
      <c r="E11" s="5" t="s">
        <v>2555</v>
      </c>
      <c r="F11" s="5" t="s">
        <v>2556</v>
      </c>
      <c r="G11" s="5" t="s">
        <v>108</v>
      </c>
      <c r="H11" s="5" t="s">
        <v>2557</v>
      </c>
      <c r="I11" s="5" t="s">
        <v>2558</v>
      </c>
      <c r="J11" s="5" t="s">
        <v>191</v>
      </c>
      <c r="K11" s="5" t="s">
        <v>2559</v>
      </c>
      <c r="L11" s="5" t="s">
        <v>2560</v>
      </c>
      <c r="M11" s="5" t="s">
        <v>2411</v>
      </c>
      <c r="N11" s="5" t="s">
        <v>2561</v>
      </c>
      <c r="O11" s="5" t="s">
        <v>2498</v>
      </c>
    </row>
    <row r="12" spans="1:15" ht="409.6">
      <c r="A12" s="5" t="s">
        <v>494</v>
      </c>
      <c r="B12" s="5" t="s">
        <v>2416</v>
      </c>
      <c r="C12" s="5">
        <f>COUNTIF(Master_Extraction!$CG$2:$CJ$51,A12)</f>
        <v>3</v>
      </c>
      <c r="D12" s="5" t="s">
        <v>2562</v>
      </c>
      <c r="E12" s="5" t="s">
        <v>2563</v>
      </c>
      <c r="F12" s="5" t="s">
        <v>2564</v>
      </c>
      <c r="G12" s="5" t="s">
        <v>108</v>
      </c>
      <c r="H12" s="5" t="s">
        <v>2565</v>
      </c>
      <c r="I12" s="5" t="s">
        <v>2566</v>
      </c>
      <c r="J12" s="5" t="s">
        <v>191</v>
      </c>
      <c r="K12" s="5" t="s">
        <v>2567</v>
      </c>
      <c r="L12" s="5" t="s">
        <v>2568</v>
      </c>
      <c r="M12" s="5" t="s">
        <v>2416</v>
      </c>
      <c r="N12" s="5" t="s">
        <v>2569</v>
      </c>
      <c r="O12" s="5" t="s">
        <v>2498</v>
      </c>
    </row>
    <row r="13" spans="1:15" ht="409.6">
      <c r="A13" s="5" t="s">
        <v>493</v>
      </c>
      <c r="B13" s="5" t="s">
        <v>760</v>
      </c>
      <c r="C13" s="5">
        <f>COUNTIF(Master_Extraction!$CG$2:$CJ$51,A13)</f>
        <v>12</v>
      </c>
      <c r="D13" s="5" t="s">
        <v>2570</v>
      </c>
      <c r="E13" s="5" t="s">
        <v>2571</v>
      </c>
      <c r="F13" s="5" t="s">
        <v>2572</v>
      </c>
      <c r="G13" s="5" t="s">
        <v>108</v>
      </c>
      <c r="H13" s="5" t="s">
        <v>2573</v>
      </c>
      <c r="I13" s="5" t="s">
        <v>2574</v>
      </c>
      <c r="J13" s="5" t="s">
        <v>191</v>
      </c>
      <c r="K13" s="5" t="s">
        <v>2575</v>
      </c>
      <c r="L13" s="5" t="s">
        <v>2576</v>
      </c>
      <c r="M13" s="5" t="s">
        <v>760</v>
      </c>
      <c r="N13" s="5" t="s">
        <v>2577</v>
      </c>
      <c r="O13" s="5" t="s">
        <v>2498</v>
      </c>
    </row>
    <row r="14" spans="1:15" ht="409.6">
      <c r="A14" s="5" t="s">
        <v>251</v>
      </c>
      <c r="B14" s="5" t="s">
        <v>2425</v>
      </c>
      <c r="C14" s="5">
        <f>COUNTIF(Master_Extraction!$CG$2:$CJ$51,A14)</f>
        <v>13</v>
      </c>
      <c r="D14" s="5" t="s">
        <v>2578</v>
      </c>
      <c r="E14" s="5" t="s">
        <v>2579</v>
      </c>
      <c r="F14" s="5" t="s">
        <v>2580</v>
      </c>
      <c r="G14" s="5" t="s">
        <v>108</v>
      </c>
      <c r="H14" s="5" t="s">
        <v>2581</v>
      </c>
      <c r="I14" s="5" t="s">
        <v>2582</v>
      </c>
      <c r="J14" s="5" t="s">
        <v>191</v>
      </c>
      <c r="K14" s="5" t="s">
        <v>2583</v>
      </c>
      <c r="L14" s="5" t="s">
        <v>2584</v>
      </c>
      <c r="M14" s="5" t="s">
        <v>2425</v>
      </c>
      <c r="N14" s="5" t="s">
        <v>2585</v>
      </c>
      <c r="O14" s="5" t="s">
        <v>2498</v>
      </c>
    </row>
    <row r="15" spans="1:15" ht="409.6">
      <c r="A15" s="5" t="s">
        <v>710</v>
      </c>
      <c r="B15" s="5" t="s">
        <v>2431</v>
      </c>
      <c r="C15" s="5">
        <f>COUNTIF(Master_Extraction!$CG$2:$CJ$51,A15)</f>
        <v>5</v>
      </c>
      <c r="D15" s="5" t="s">
        <v>2586</v>
      </c>
      <c r="E15" s="5" t="s">
        <v>2587</v>
      </c>
      <c r="F15" s="5" t="s">
        <v>2588</v>
      </c>
      <c r="G15" s="5" t="s">
        <v>108</v>
      </c>
      <c r="H15" s="5" t="s">
        <v>2589</v>
      </c>
      <c r="I15" s="5" t="s">
        <v>2590</v>
      </c>
      <c r="J15" s="5" t="s">
        <v>191</v>
      </c>
      <c r="K15" s="5" t="s">
        <v>2591</v>
      </c>
      <c r="L15" s="5" t="s">
        <v>2592</v>
      </c>
      <c r="M15" s="5" t="s">
        <v>2431</v>
      </c>
      <c r="N15" s="5" t="s">
        <v>2593</v>
      </c>
      <c r="O15" s="5" t="s">
        <v>2498</v>
      </c>
    </row>
    <row r="16" spans="1:15" ht="409.6">
      <c r="A16" s="5" t="s">
        <v>155</v>
      </c>
      <c r="B16" s="5" t="s">
        <v>1509</v>
      </c>
      <c r="C16" s="5">
        <f>COUNTIF(Master_Extraction!$CG$2:$CJ$51,A16)</f>
        <v>18</v>
      </c>
      <c r="D16" s="5" t="s">
        <v>2594</v>
      </c>
      <c r="E16" s="5" t="s">
        <v>2595</v>
      </c>
      <c r="F16" s="5" t="s">
        <v>2596</v>
      </c>
      <c r="G16" s="5" t="s">
        <v>108</v>
      </c>
      <c r="H16" s="5" t="s">
        <v>2597</v>
      </c>
      <c r="I16" s="5" t="s">
        <v>2598</v>
      </c>
      <c r="J16" s="5" t="s">
        <v>191</v>
      </c>
      <c r="K16" s="5" t="s">
        <v>2599</v>
      </c>
      <c r="L16" s="5" t="s">
        <v>2600</v>
      </c>
      <c r="M16" s="5" t="s">
        <v>1509</v>
      </c>
      <c r="N16" s="5" t="s">
        <v>2601</v>
      </c>
      <c r="O16" s="5" t="s">
        <v>2498</v>
      </c>
    </row>
    <row r="17" spans="1:15" ht="409.6">
      <c r="A17" s="5" t="s">
        <v>152</v>
      </c>
      <c r="B17" s="5" t="s">
        <v>119</v>
      </c>
      <c r="C17" s="5">
        <f>COUNTIF(Master_Extraction!$CG$2:$CJ$51,A17)</f>
        <v>34</v>
      </c>
      <c r="D17" s="5" t="s">
        <v>2602</v>
      </c>
      <c r="E17" s="5" t="s">
        <v>2603</v>
      </c>
      <c r="F17" s="5" t="s">
        <v>2604</v>
      </c>
      <c r="G17" s="5" t="s">
        <v>108</v>
      </c>
      <c r="H17" s="5" t="s">
        <v>2605</v>
      </c>
      <c r="I17" s="5" t="s">
        <v>2606</v>
      </c>
      <c r="J17" s="5" t="s">
        <v>191</v>
      </c>
      <c r="K17" s="5" t="s">
        <v>2607</v>
      </c>
      <c r="L17" s="5" t="s">
        <v>2608</v>
      </c>
      <c r="M17" s="5" t="s">
        <v>119</v>
      </c>
      <c r="N17" s="5" t="s">
        <v>2609</v>
      </c>
      <c r="O17" s="5" t="s">
        <v>2498</v>
      </c>
    </row>
    <row r="18" spans="1:15" ht="409.6">
      <c r="A18" s="5" t="s">
        <v>153</v>
      </c>
      <c r="B18" s="5" t="s">
        <v>2447</v>
      </c>
      <c r="C18" s="5">
        <f>COUNTIF(Master_Extraction!$CG$2:$CJ$51,A18)</f>
        <v>6</v>
      </c>
      <c r="D18" s="5" t="s">
        <v>2610</v>
      </c>
      <c r="E18" s="5" t="s">
        <v>2611</v>
      </c>
      <c r="F18" s="5" t="s">
        <v>2612</v>
      </c>
      <c r="G18" s="5" t="s">
        <v>108</v>
      </c>
      <c r="H18" s="5" t="s">
        <v>2613</v>
      </c>
      <c r="I18" s="5" t="s">
        <v>2614</v>
      </c>
      <c r="J18" s="5" t="s">
        <v>191</v>
      </c>
      <c r="K18" s="5" t="s">
        <v>2615</v>
      </c>
      <c r="L18" s="5" t="s">
        <v>2616</v>
      </c>
      <c r="M18" s="5" t="s">
        <v>2447</v>
      </c>
      <c r="N18" s="5" t="s">
        <v>2617</v>
      </c>
      <c r="O18" s="5" t="s">
        <v>2498</v>
      </c>
    </row>
    <row r="19" spans="1:15" ht="179.4">
      <c r="A19" s="5" t="s">
        <v>1705</v>
      </c>
      <c r="B19" s="5" t="s">
        <v>2452</v>
      </c>
      <c r="C19" s="5">
        <f>COUNTIF(Master_Extraction!$CG$2:$CJ$51,A19)</f>
        <v>1</v>
      </c>
      <c r="D19" s="5" t="s">
        <v>1672</v>
      </c>
      <c r="E19" s="5" t="s">
        <v>2618</v>
      </c>
      <c r="F19" s="5" t="s">
        <v>2619</v>
      </c>
      <c r="G19" s="5" t="s">
        <v>108</v>
      </c>
      <c r="H19" s="5" t="s">
        <v>2620</v>
      </c>
      <c r="I19" s="5" t="s">
        <v>2621</v>
      </c>
      <c r="J19" s="5" t="s">
        <v>2495</v>
      </c>
      <c r="K19" s="5" t="s">
        <v>2622</v>
      </c>
      <c r="L19" s="5" t="s">
        <v>2623</v>
      </c>
      <c r="M19" s="5" t="s">
        <v>2452</v>
      </c>
      <c r="N19" s="5" t="s">
        <v>2624</v>
      </c>
      <c r="O19" s="5" t="s">
        <v>2498</v>
      </c>
    </row>
    <row r="20" spans="1:15" ht="409.6">
      <c r="A20" s="5" t="s">
        <v>569</v>
      </c>
      <c r="B20" s="5" t="s">
        <v>1885</v>
      </c>
      <c r="C20" s="5">
        <f>COUNTIF(Master_Extraction!$CG$2:$CJ$51,A20)</f>
        <v>4</v>
      </c>
      <c r="D20" s="5" t="s">
        <v>2625</v>
      </c>
      <c r="E20" s="5" t="s">
        <v>2626</v>
      </c>
      <c r="F20" s="5" t="s">
        <v>2627</v>
      </c>
      <c r="G20" s="5" t="s">
        <v>108</v>
      </c>
      <c r="H20" s="5" t="s">
        <v>2628</v>
      </c>
      <c r="I20" s="5" t="s">
        <v>2629</v>
      </c>
      <c r="J20" s="5" t="s">
        <v>191</v>
      </c>
      <c r="K20" s="5" t="s">
        <v>2630</v>
      </c>
      <c r="L20" s="5" t="s">
        <v>2631</v>
      </c>
      <c r="M20" s="5" t="s">
        <v>1885</v>
      </c>
      <c r="N20" s="5" t="s">
        <v>2632</v>
      </c>
      <c r="O20" s="5" t="s">
        <v>2498</v>
      </c>
    </row>
    <row r="21" spans="1:15" ht="409.6">
      <c r="A21" s="5" t="s">
        <v>154</v>
      </c>
      <c r="B21" s="5" t="s">
        <v>427</v>
      </c>
      <c r="C21" s="5">
        <f>COUNTIF(Master_Extraction!$CG$2:$CJ$51,A21)</f>
        <v>40</v>
      </c>
      <c r="D21" s="5" t="s">
        <v>2633</v>
      </c>
      <c r="E21" s="5" t="s">
        <v>2634</v>
      </c>
      <c r="F21" s="5" t="s">
        <v>2635</v>
      </c>
      <c r="G21" s="5" t="s">
        <v>108</v>
      </c>
      <c r="H21" s="5" t="s">
        <v>2636</v>
      </c>
      <c r="I21" s="5" t="s">
        <v>2637</v>
      </c>
      <c r="J21" s="5" t="s">
        <v>191</v>
      </c>
      <c r="K21" s="5" t="s">
        <v>2607</v>
      </c>
      <c r="L21" s="5" t="s">
        <v>2608</v>
      </c>
      <c r="M21" s="5" t="s">
        <v>427</v>
      </c>
      <c r="N21" s="5" t="s">
        <v>2638</v>
      </c>
      <c r="O21" s="5" t="s">
        <v>2498</v>
      </c>
    </row>
    <row r="22" spans="1:15" ht="409.6">
      <c r="A22" s="5" t="s">
        <v>194</v>
      </c>
      <c r="B22" s="5" t="s">
        <v>168</v>
      </c>
      <c r="C22" s="5">
        <f>COUNTIF(Master_Extraction!$CG$2:$CJ$51,A22)</f>
        <v>11</v>
      </c>
      <c r="D22" s="5" t="s">
        <v>2639</v>
      </c>
      <c r="E22" s="5" t="s">
        <v>2640</v>
      </c>
      <c r="F22" s="5" t="s">
        <v>2641</v>
      </c>
      <c r="G22" s="5" t="s">
        <v>108</v>
      </c>
      <c r="H22" s="5" t="s">
        <v>2642</v>
      </c>
      <c r="I22" s="5" t="s">
        <v>2643</v>
      </c>
      <c r="J22" s="5" t="s">
        <v>191</v>
      </c>
      <c r="K22" s="5" t="s">
        <v>2644</v>
      </c>
      <c r="L22" s="5" t="s">
        <v>2645</v>
      </c>
      <c r="M22" s="5" t="s">
        <v>168</v>
      </c>
      <c r="N22" s="5" t="s">
        <v>2646</v>
      </c>
      <c r="O22" s="5" t="s">
        <v>2498</v>
      </c>
    </row>
    <row r="23" spans="1:15" ht="409.6">
      <c r="A23" s="5" t="s">
        <v>418</v>
      </c>
      <c r="B23" s="5" t="s">
        <v>2472</v>
      </c>
      <c r="C23" s="5">
        <f>COUNTIF(Master_Extraction!$CG$2:$CJ$51,A23)</f>
        <v>2</v>
      </c>
      <c r="D23" s="5" t="s">
        <v>2647</v>
      </c>
      <c r="E23" s="5" t="s">
        <v>2648</v>
      </c>
      <c r="F23" s="5" t="s">
        <v>2649</v>
      </c>
      <c r="G23" s="5" t="s">
        <v>108</v>
      </c>
      <c r="H23" s="5" t="s">
        <v>2650</v>
      </c>
      <c r="I23" s="5" t="s">
        <v>2651</v>
      </c>
      <c r="J23" s="5" t="s">
        <v>2495</v>
      </c>
      <c r="K23" s="5" t="s">
        <v>2652</v>
      </c>
      <c r="L23" s="5" t="s">
        <v>108</v>
      </c>
      <c r="M23" s="5" t="s">
        <v>2472</v>
      </c>
      <c r="N23" s="5" t="s">
        <v>2653</v>
      </c>
      <c r="O23" s="5" t="s">
        <v>2498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workbookViewId="0"/>
  </sheetViews>
  <sheetFormatPr defaultRowHeight="13.8"/>
  <cols>
    <col min="1" max="1" width="24" customWidth="1"/>
    <col min="2" max="3" width="14" customWidth="1"/>
    <col min="4" max="4" width="55" customWidth="1"/>
    <col min="5" max="5" width="35" customWidth="1"/>
  </cols>
  <sheetData>
    <row r="1" spans="1:5" ht="27.6">
      <c r="A1" s="4" t="s">
        <v>36</v>
      </c>
      <c r="B1" s="4" t="s">
        <v>2654</v>
      </c>
      <c r="C1" s="4" t="s">
        <v>2655</v>
      </c>
      <c r="D1" s="4" t="s">
        <v>2656</v>
      </c>
      <c r="E1" s="4" t="s">
        <v>2004</v>
      </c>
    </row>
    <row r="2" spans="1:5" ht="41.4">
      <c r="A2" s="5" t="s">
        <v>358</v>
      </c>
      <c r="B2" s="5">
        <f>COUNTIF(Master_Extraction!$AK$2:$AK$51,A2)</f>
        <v>8</v>
      </c>
      <c r="C2" s="5">
        <f>COUNTIFS(Master_Extraction!$AK$2:$AK$51,A2,Master_Extraction!$T$2:$T$51,"Include")</f>
        <v>7</v>
      </c>
      <c r="D2" s="5" t="s">
        <v>2657</v>
      </c>
      <c r="E2" s="5" t="s">
        <v>2658</v>
      </c>
    </row>
    <row r="3" spans="1:5" ht="27.6">
      <c r="A3" s="5" t="s">
        <v>588</v>
      </c>
      <c r="B3" s="5">
        <f>COUNTIF(Master_Extraction!$AK$2:$AK$51,A3)</f>
        <v>3</v>
      </c>
      <c r="C3" s="5">
        <f>COUNTIFS(Master_Extraction!$AK$2:$AK$51,A3,Master_Extraction!$T$2:$T$51,"Include")</f>
        <v>3</v>
      </c>
      <c r="D3" s="5" t="s">
        <v>2659</v>
      </c>
      <c r="E3" s="5" t="s">
        <v>2660</v>
      </c>
    </row>
    <row r="4" spans="1:5" ht="41.4">
      <c r="A4" s="5" t="s">
        <v>398</v>
      </c>
      <c r="B4" s="5">
        <f>COUNTIF(Master_Extraction!$AK$2:$AK$51,A4)</f>
        <v>6</v>
      </c>
      <c r="C4" s="5">
        <f>COUNTIFS(Master_Extraction!$AK$2:$AK$51,A4,Master_Extraction!$T$2:$T$51,"Include")</f>
        <v>6</v>
      </c>
      <c r="D4" s="5" t="s">
        <v>2661</v>
      </c>
      <c r="E4" s="5" t="s">
        <v>2662</v>
      </c>
    </row>
    <row r="5" spans="1:5" ht="27.6">
      <c r="A5" s="5" t="s">
        <v>950</v>
      </c>
      <c r="B5" s="5">
        <f>COUNTIF(Master_Extraction!$AK$2:$AK$51,A5)</f>
        <v>3</v>
      </c>
      <c r="C5" s="5">
        <f>COUNTIFS(Master_Extraction!$AK$2:$AK$51,A5,Master_Extraction!$T$2:$T$51,"Include")</f>
        <v>3</v>
      </c>
      <c r="D5" s="5" t="s">
        <v>2663</v>
      </c>
      <c r="E5" s="5" t="s">
        <v>2664</v>
      </c>
    </row>
    <row r="6" spans="1:5" ht="27.6">
      <c r="A6" s="5" t="s">
        <v>2665</v>
      </c>
      <c r="B6" s="5">
        <f>COUNTIF(Master_Extraction!$AK$2:$AK$51,A6)</f>
        <v>0</v>
      </c>
      <c r="C6" s="5">
        <f>COUNTIFS(Master_Extraction!$AK$2:$AK$51,A6,Master_Extraction!$T$2:$T$51,"Include")</f>
        <v>0</v>
      </c>
      <c r="D6" s="5" t="s">
        <v>2666</v>
      </c>
      <c r="E6" s="5" t="s">
        <v>2667</v>
      </c>
    </row>
    <row r="7" spans="1:5" ht="27.6">
      <c r="A7" s="5" t="s">
        <v>2668</v>
      </c>
      <c r="B7" s="5">
        <f>COUNTIF(Master_Extraction!$AK$2:$AK$51,A7)</f>
        <v>0</v>
      </c>
      <c r="C7" s="5">
        <f>COUNTIFS(Master_Extraction!$AK$2:$AK$51,A7,Master_Extraction!$T$2:$T$51,"Include")</f>
        <v>0</v>
      </c>
      <c r="D7" s="5" t="s">
        <v>2669</v>
      </c>
      <c r="E7" s="5" t="s">
        <v>2667</v>
      </c>
    </row>
    <row r="8" spans="1:5" ht="27.6">
      <c r="A8" s="5" t="s">
        <v>1155</v>
      </c>
      <c r="B8" s="5">
        <f>COUNTIF(Master_Extraction!$AK$2:$AK$51,A8)</f>
        <v>1</v>
      </c>
      <c r="C8" s="5">
        <f>COUNTIFS(Master_Extraction!$AK$2:$AK$51,A8,Master_Extraction!$T$2:$T$51,"Include")</f>
        <v>1</v>
      </c>
      <c r="D8" s="5" t="s">
        <v>2670</v>
      </c>
      <c r="E8" s="5" t="s">
        <v>2671</v>
      </c>
    </row>
    <row r="9" spans="1:5" ht="27.6">
      <c r="A9" s="5" t="s">
        <v>177</v>
      </c>
      <c r="B9" s="5">
        <f>COUNTIF(Master_Extraction!$AK$2:$AK$51,A9)</f>
        <v>3</v>
      </c>
      <c r="C9" s="5">
        <f>COUNTIFS(Master_Extraction!$AK$2:$AK$51,A9,Master_Extraction!$T$2:$T$51,"Include")</f>
        <v>3</v>
      </c>
      <c r="D9" s="5" t="s">
        <v>2672</v>
      </c>
      <c r="E9" s="5" t="s">
        <v>2673</v>
      </c>
    </row>
    <row r="10" spans="1:5" ht="27.6">
      <c r="A10" s="5" t="s">
        <v>217</v>
      </c>
      <c r="B10" s="5">
        <f>COUNTIF(Master_Extraction!$AK$2:$AK$51,A10)</f>
        <v>1</v>
      </c>
      <c r="C10" s="5">
        <f>COUNTIFS(Master_Extraction!$AK$2:$AK$51,A10,Master_Extraction!$T$2:$T$51,"Include")</f>
        <v>1</v>
      </c>
      <c r="D10" s="5" t="s">
        <v>2674</v>
      </c>
      <c r="E10" s="5" t="s">
        <v>2675</v>
      </c>
    </row>
    <row r="11" spans="1:5" ht="27.6">
      <c r="A11" s="5" t="s">
        <v>219</v>
      </c>
      <c r="B11" s="5">
        <f>COUNTIF(Master_Extraction!$AK$2:$AK$51,A11)</f>
        <v>5</v>
      </c>
      <c r="C11" s="5">
        <f>COUNTIFS(Master_Extraction!$AK$2:$AK$51,A11,Master_Extraction!$T$2:$T$51,"Include")</f>
        <v>5</v>
      </c>
      <c r="D11" s="5" t="s">
        <v>2676</v>
      </c>
      <c r="E11" s="5" t="s">
        <v>2677</v>
      </c>
    </row>
    <row r="12" spans="1:5" ht="27.6">
      <c r="A12" s="5" t="s">
        <v>2678</v>
      </c>
      <c r="B12" s="5">
        <f>COUNTIF(Master_Extraction!$AK$2:$AK$51,A12)</f>
        <v>0</v>
      </c>
      <c r="C12" s="5">
        <f>COUNTIFS(Master_Extraction!$AK$2:$AK$51,A12,Master_Extraction!$T$2:$T$51,"Include")</f>
        <v>0</v>
      </c>
      <c r="D12" s="5" t="s">
        <v>2679</v>
      </c>
      <c r="E12" s="5" t="s">
        <v>2667</v>
      </c>
    </row>
    <row r="13" spans="1:5" ht="27.6">
      <c r="A13" s="5" t="s">
        <v>2680</v>
      </c>
      <c r="B13" s="5">
        <f>COUNTIF(Master_Extraction!$AK$2:$AK$51,A13)</f>
        <v>0</v>
      </c>
      <c r="C13" s="5">
        <f>COUNTIFS(Master_Extraction!$AK$2:$AK$51,A13,Master_Extraction!$T$2:$T$51,"Include")</f>
        <v>0</v>
      </c>
      <c r="D13" s="5" t="s">
        <v>2681</v>
      </c>
      <c r="E13" s="5" t="s">
        <v>2667</v>
      </c>
    </row>
    <row r="14" spans="1:5" ht="41.4">
      <c r="A14" s="5" t="s">
        <v>271</v>
      </c>
      <c r="B14" s="5">
        <f>COUNTIF(Master_Extraction!$AK$2:$AK$51,A14)</f>
        <v>8</v>
      </c>
      <c r="C14" s="5">
        <f>COUNTIFS(Master_Extraction!$AK$2:$AK$51,A14,Master_Extraction!$T$2:$T$51,"Include")</f>
        <v>8</v>
      </c>
      <c r="D14" s="5" t="s">
        <v>2682</v>
      </c>
      <c r="E14" s="5" t="s">
        <v>2683</v>
      </c>
    </row>
    <row r="15" spans="1:5" ht="27.6">
      <c r="A15" s="5" t="s">
        <v>127</v>
      </c>
      <c r="B15" s="5">
        <f>COUNTIF(Master_Extraction!$AK$2:$AK$51,A15)</f>
        <v>2</v>
      </c>
      <c r="C15" s="5">
        <f>COUNTIFS(Master_Extraction!$AK$2:$AK$51,A15,Master_Extraction!$T$2:$T$51,"Include")</f>
        <v>2</v>
      </c>
      <c r="D15" s="5" t="s">
        <v>2684</v>
      </c>
      <c r="E15" s="5" t="s">
        <v>2685</v>
      </c>
    </row>
    <row r="16" spans="1:5" ht="27.6">
      <c r="A16" s="5" t="s">
        <v>2686</v>
      </c>
      <c r="B16" s="5">
        <f>COUNTIF(Master_Extraction!$AK$2:$AK$51,A16)</f>
        <v>0</v>
      </c>
      <c r="C16" s="5">
        <f>COUNTIFS(Master_Extraction!$AK$2:$AK$51,A16,Master_Extraction!$T$2:$T$51,"Include")</f>
        <v>0</v>
      </c>
      <c r="D16" s="5" t="s">
        <v>2687</v>
      </c>
      <c r="E16" s="5" t="s">
        <v>2667</v>
      </c>
    </row>
    <row r="17" spans="1:5" ht="27.6">
      <c r="A17" s="5" t="s">
        <v>2688</v>
      </c>
      <c r="B17" s="5">
        <f>COUNTIF(Master_Extraction!$AK$2:$AK$51,A17)</f>
        <v>0</v>
      </c>
      <c r="C17" s="5">
        <f>COUNTIFS(Master_Extraction!$AK$2:$AK$51,A17,Master_Extraction!$T$2:$T$51,"Include")</f>
        <v>0</v>
      </c>
      <c r="D17" s="5" t="s">
        <v>2689</v>
      </c>
      <c r="E17" s="5" t="s">
        <v>2667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3"/>
  <sheetViews>
    <sheetView workbookViewId="0"/>
  </sheetViews>
  <sheetFormatPr defaultRowHeight="13.8"/>
  <cols>
    <col min="1" max="15" width="24" customWidth="1"/>
  </cols>
  <sheetData>
    <row r="1" spans="1:15">
      <c r="A1" s="3" t="s">
        <v>3</v>
      </c>
      <c r="B1" s="3" t="s">
        <v>5</v>
      </c>
      <c r="C1" s="3" t="s">
        <v>19</v>
      </c>
      <c r="D1" s="3" t="s">
        <v>21</v>
      </c>
      <c r="E1" s="3" t="s">
        <v>13</v>
      </c>
      <c r="F1" s="3" t="s">
        <v>33</v>
      </c>
      <c r="G1" s="3" t="s">
        <v>34</v>
      </c>
      <c r="H1" s="3" t="s">
        <v>36</v>
      </c>
      <c r="I1" s="3" t="s">
        <v>37</v>
      </c>
      <c r="J1" s="3" t="s">
        <v>1992</v>
      </c>
      <c r="K1" s="3" t="s">
        <v>75</v>
      </c>
      <c r="L1" s="3" t="s">
        <v>92</v>
      </c>
      <c r="M1" s="3" t="s">
        <v>91</v>
      </c>
      <c r="N1" s="3" t="s">
        <v>2002</v>
      </c>
      <c r="O1" s="3" t="s">
        <v>2690</v>
      </c>
    </row>
    <row r="2" spans="1:15">
      <c r="A2" s="2" t="s">
        <v>2691</v>
      </c>
      <c r="B2" s="2" t="s">
        <v>107</v>
      </c>
      <c r="C2" s="2" t="s">
        <v>117</v>
      </c>
      <c r="D2" s="2" t="s">
        <v>118</v>
      </c>
      <c r="E2" s="2" t="s">
        <v>539</v>
      </c>
      <c r="F2" s="2" t="s">
        <v>175</v>
      </c>
      <c r="G2" s="2" t="s">
        <v>176</v>
      </c>
      <c r="H2" s="2" t="s">
        <v>358</v>
      </c>
      <c r="I2" s="2" t="s">
        <v>128</v>
      </c>
      <c r="J2" s="2" t="s">
        <v>454</v>
      </c>
      <c r="K2" s="2" t="s">
        <v>146</v>
      </c>
      <c r="L2" s="2" t="s">
        <v>156</v>
      </c>
      <c r="M2" s="2" t="s">
        <v>146</v>
      </c>
      <c r="N2" s="2">
        <v>1</v>
      </c>
      <c r="O2" s="2">
        <v>0</v>
      </c>
    </row>
    <row r="3" spans="1:15">
      <c r="A3" s="2" t="s">
        <v>2692</v>
      </c>
      <c r="B3" s="2" t="s">
        <v>2693</v>
      </c>
      <c r="C3" s="2" t="s">
        <v>2694</v>
      </c>
      <c r="D3" s="2" t="s">
        <v>1477</v>
      </c>
      <c r="E3" s="2" t="s">
        <v>616</v>
      </c>
      <c r="F3" s="2" t="s">
        <v>2695</v>
      </c>
      <c r="G3" s="2" t="s">
        <v>357</v>
      </c>
      <c r="H3" s="2" t="s">
        <v>588</v>
      </c>
      <c r="I3" s="2" t="s">
        <v>178</v>
      </c>
      <c r="J3" s="2" t="s">
        <v>530</v>
      </c>
      <c r="K3" s="2" t="s">
        <v>191</v>
      </c>
      <c r="L3" s="2" t="s">
        <v>1501</v>
      </c>
      <c r="M3" s="2" t="s">
        <v>191</v>
      </c>
      <c r="N3" s="2">
        <v>2</v>
      </c>
      <c r="O3" s="2">
        <v>1</v>
      </c>
    </row>
    <row r="4" spans="1:15">
      <c r="A4" s="2" t="s">
        <v>105</v>
      </c>
      <c r="B4" s="2" t="s">
        <v>2696</v>
      </c>
      <c r="C4" s="2" t="s">
        <v>352</v>
      </c>
      <c r="D4" s="2" t="s">
        <v>2697</v>
      </c>
      <c r="E4" s="2" t="s">
        <v>2698</v>
      </c>
      <c r="F4" s="2" t="s">
        <v>2699</v>
      </c>
      <c r="G4" s="2" t="s">
        <v>2686</v>
      </c>
      <c r="H4" s="2" t="s">
        <v>398</v>
      </c>
      <c r="I4" s="2" t="s">
        <v>2700</v>
      </c>
      <c r="J4" s="2" t="s">
        <v>1099</v>
      </c>
      <c r="K4" s="2" t="s">
        <v>2701</v>
      </c>
      <c r="L4" s="2" t="s">
        <v>352</v>
      </c>
      <c r="M4" s="2" t="s">
        <v>2701</v>
      </c>
      <c r="N4" s="2">
        <v>3</v>
      </c>
      <c r="O4" s="2">
        <v>2</v>
      </c>
    </row>
    <row r="5" spans="1:15">
      <c r="A5" s="2" t="s">
        <v>2702</v>
      </c>
      <c r="B5" s="2" t="s">
        <v>2703</v>
      </c>
      <c r="C5" s="2" t="s">
        <v>2704</v>
      </c>
      <c r="D5" s="2" t="s">
        <v>2705</v>
      </c>
      <c r="E5" s="2" t="s">
        <v>113</v>
      </c>
      <c r="F5" s="2" t="s">
        <v>2680</v>
      </c>
      <c r="G5" s="2" t="s">
        <v>2680</v>
      </c>
      <c r="H5" s="2" t="s">
        <v>950</v>
      </c>
      <c r="I5" s="2" t="s">
        <v>315</v>
      </c>
      <c r="J5" s="2" t="s">
        <v>711</v>
      </c>
      <c r="K5" s="2" t="s">
        <v>2706</v>
      </c>
      <c r="L5" s="2" t="s">
        <v>2707</v>
      </c>
      <c r="M5" s="2" t="s">
        <v>2708</v>
      </c>
      <c r="N5" s="2">
        <v>4</v>
      </c>
      <c r="O5" s="2"/>
    </row>
    <row r="6" spans="1:15">
      <c r="A6" s="2" t="s">
        <v>2709</v>
      </c>
      <c r="B6" s="2"/>
      <c r="C6" s="2" t="s">
        <v>2710</v>
      </c>
      <c r="D6" s="2" t="s">
        <v>353</v>
      </c>
      <c r="E6" s="2" t="s">
        <v>2711</v>
      </c>
      <c r="F6" s="2" t="s">
        <v>125</v>
      </c>
      <c r="G6" s="2" t="s">
        <v>2712</v>
      </c>
      <c r="H6" s="2" t="s">
        <v>2665</v>
      </c>
      <c r="I6" s="2" t="s">
        <v>2688</v>
      </c>
      <c r="J6" s="2" t="s">
        <v>252</v>
      </c>
      <c r="K6" s="2" t="s">
        <v>2713</v>
      </c>
      <c r="L6" s="2" t="s">
        <v>2714</v>
      </c>
      <c r="M6" s="2"/>
      <c r="N6" s="2">
        <v>5</v>
      </c>
      <c r="O6" s="2"/>
    </row>
    <row r="7" spans="1:15">
      <c r="A7" s="2"/>
      <c r="B7" s="2"/>
      <c r="C7" s="2"/>
      <c r="D7" s="2"/>
      <c r="E7" s="2" t="s">
        <v>2715</v>
      </c>
      <c r="F7" s="2" t="s">
        <v>217</v>
      </c>
      <c r="G7" s="2" t="s">
        <v>218</v>
      </c>
      <c r="H7" s="2" t="s">
        <v>2668</v>
      </c>
      <c r="I7" s="2"/>
      <c r="J7" s="2" t="s">
        <v>386</v>
      </c>
      <c r="K7" s="2"/>
      <c r="L7" s="2"/>
      <c r="M7" s="2"/>
      <c r="N7" s="2"/>
      <c r="O7" s="2"/>
    </row>
    <row r="8" spans="1:15">
      <c r="A8" s="2"/>
      <c r="B8" s="2"/>
      <c r="C8" s="2"/>
      <c r="D8" s="2"/>
      <c r="E8" s="2" t="s">
        <v>1473</v>
      </c>
      <c r="F8" s="2" t="s">
        <v>2716</v>
      </c>
      <c r="G8" s="2" t="s">
        <v>126</v>
      </c>
      <c r="H8" s="2" t="s">
        <v>1155</v>
      </c>
      <c r="I8" s="2"/>
      <c r="J8" s="2" t="s">
        <v>2394</v>
      </c>
      <c r="K8" s="2"/>
      <c r="L8" s="2"/>
      <c r="M8" s="2"/>
      <c r="N8" s="2"/>
      <c r="O8" s="2"/>
    </row>
    <row r="9" spans="1:15">
      <c r="A9" s="2"/>
      <c r="B9" s="2"/>
      <c r="C9" s="2"/>
      <c r="D9" s="2"/>
      <c r="E9" s="2" t="s">
        <v>206</v>
      </c>
      <c r="F9" s="2" t="s">
        <v>2717</v>
      </c>
      <c r="G9" s="2" t="s">
        <v>2718</v>
      </c>
      <c r="H9" s="2" t="s">
        <v>177</v>
      </c>
      <c r="I9" s="2"/>
      <c r="J9" s="2" t="s">
        <v>1223</v>
      </c>
      <c r="K9" s="2"/>
      <c r="L9" s="2"/>
      <c r="M9" s="2"/>
      <c r="N9" s="2"/>
      <c r="O9" s="2"/>
    </row>
    <row r="10" spans="1:15">
      <c r="A10" s="2"/>
      <c r="B10" s="2"/>
      <c r="C10" s="2"/>
      <c r="D10" s="2"/>
      <c r="E10" s="2" t="s">
        <v>2719</v>
      </c>
      <c r="F10" s="2" t="s">
        <v>2720</v>
      </c>
      <c r="G10" s="2"/>
      <c r="H10" s="2" t="s">
        <v>217</v>
      </c>
      <c r="I10" s="2"/>
      <c r="J10" s="2" t="s">
        <v>340</v>
      </c>
      <c r="K10" s="2"/>
      <c r="L10" s="2"/>
      <c r="M10" s="2"/>
      <c r="N10" s="2"/>
      <c r="O10" s="2"/>
    </row>
    <row r="11" spans="1:15">
      <c r="A11" s="2"/>
      <c r="B11" s="2"/>
      <c r="C11" s="2"/>
      <c r="D11" s="2"/>
      <c r="E11" s="2"/>
      <c r="F11" s="2"/>
      <c r="G11" s="2"/>
      <c r="H11" s="2" t="s">
        <v>219</v>
      </c>
      <c r="I11" s="2"/>
      <c r="J11" s="2" t="s">
        <v>195</v>
      </c>
      <c r="K11" s="2"/>
      <c r="L11" s="2"/>
      <c r="M11" s="2"/>
      <c r="N11" s="2"/>
      <c r="O11" s="2"/>
    </row>
    <row r="12" spans="1:15">
      <c r="A12" s="2"/>
      <c r="B12" s="2"/>
      <c r="C12" s="2"/>
      <c r="D12" s="2"/>
      <c r="E12" s="2"/>
      <c r="F12" s="2"/>
      <c r="G12" s="2"/>
      <c r="H12" s="2" t="s">
        <v>2678</v>
      </c>
      <c r="I12" s="2"/>
      <c r="J12" s="2" t="s">
        <v>494</v>
      </c>
      <c r="K12" s="2"/>
      <c r="L12" s="2"/>
      <c r="M12" s="2"/>
      <c r="N12" s="2"/>
      <c r="O12" s="2"/>
    </row>
    <row r="13" spans="1:15">
      <c r="A13" s="2"/>
      <c r="B13" s="2"/>
      <c r="C13" s="2"/>
      <c r="D13" s="2"/>
      <c r="E13" s="2"/>
      <c r="F13" s="2"/>
      <c r="G13" s="2"/>
      <c r="H13" s="2" t="s">
        <v>2680</v>
      </c>
      <c r="I13" s="2"/>
      <c r="J13" s="2" t="s">
        <v>493</v>
      </c>
      <c r="K13" s="2"/>
      <c r="L13" s="2"/>
      <c r="M13" s="2"/>
      <c r="N13" s="2"/>
      <c r="O13" s="2"/>
    </row>
    <row r="14" spans="1:15">
      <c r="A14" s="2"/>
      <c r="B14" s="2"/>
      <c r="C14" s="2"/>
      <c r="D14" s="2"/>
      <c r="E14" s="2"/>
      <c r="F14" s="2"/>
      <c r="G14" s="2"/>
      <c r="H14" s="2" t="s">
        <v>271</v>
      </c>
      <c r="I14" s="2"/>
      <c r="J14" s="2" t="s">
        <v>251</v>
      </c>
      <c r="K14" s="2"/>
      <c r="L14" s="2"/>
      <c r="M14" s="2"/>
      <c r="N14" s="2"/>
      <c r="O14" s="2"/>
    </row>
    <row r="15" spans="1:15">
      <c r="A15" s="2"/>
      <c r="B15" s="2"/>
      <c r="C15" s="2"/>
      <c r="D15" s="2"/>
      <c r="E15" s="2"/>
      <c r="F15" s="2"/>
      <c r="G15" s="2"/>
      <c r="H15" s="2" t="s">
        <v>127</v>
      </c>
      <c r="I15" s="2"/>
      <c r="J15" s="2" t="s">
        <v>710</v>
      </c>
      <c r="K15" s="2"/>
      <c r="L15" s="2"/>
      <c r="M15" s="2"/>
      <c r="N15" s="2"/>
      <c r="O15" s="2"/>
    </row>
    <row r="16" spans="1:15">
      <c r="A16" s="2"/>
      <c r="B16" s="2"/>
      <c r="C16" s="2"/>
      <c r="D16" s="2"/>
      <c r="E16" s="2"/>
      <c r="F16" s="2"/>
      <c r="G16" s="2"/>
      <c r="H16" s="2" t="s">
        <v>2721</v>
      </c>
      <c r="I16" s="2"/>
      <c r="J16" s="2" t="s">
        <v>155</v>
      </c>
      <c r="K16" s="2"/>
      <c r="L16" s="2"/>
      <c r="M16" s="2"/>
      <c r="N16" s="2"/>
      <c r="O16" s="2"/>
    </row>
    <row r="17" spans="1:15">
      <c r="A17" s="2"/>
      <c r="B17" s="2"/>
      <c r="C17" s="2"/>
      <c r="D17" s="2"/>
      <c r="E17" s="2"/>
      <c r="F17" s="2"/>
      <c r="G17" s="2"/>
      <c r="H17" s="2" t="s">
        <v>2686</v>
      </c>
      <c r="I17" s="2"/>
      <c r="J17" s="2" t="s">
        <v>152</v>
      </c>
      <c r="K17" s="2"/>
      <c r="L17" s="2"/>
      <c r="M17" s="2"/>
      <c r="N17" s="2"/>
      <c r="O17" s="2"/>
    </row>
    <row r="18" spans="1:15">
      <c r="A18" s="2"/>
      <c r="B18" s="2"/>
      <c r="C18" s="2"/>
      <c r="D18" s="2"/>
      <c r="E18" s="2"/>
      <c r="F18" s="2"/>
      <c r="G18" s="2"/>
      <c r="H18" s="2" t="s">
        <v>2688</v>
      </c>
      <c r="I18" s="2"/>
      <c r="J18" s="2" t="s">
        <v>153</v>
      </c>
      <c r="K18" s="2"/>
      <c r="L18" s="2"/>
      <c r="M18" s="2"/>
      <c r="N18" s="2"/>
      <c r="O18" s="2"/>
    </row>
    <row r="19" spans="1:15">
      <c r="A19" s="2"/>
      <c r="B19" s="2"/>
      <c r="C19" s="2"/>
      <c r="D19" s="2"/>
      <c r="E19" s="2"/>
      <c r="F19" s="2"/>
      <c r="G19" s="2"/>
      <c r="H19" s="2"/>
      <c r="I19" s="2"/>
      <c r="J19" s="2" t="s">
        <v>1705</v>
      </c>
      <c r="K19" s="2"/>
      <c r="L19" s="2"/>
      <c r="M19" s="2"/>
      <c r="N19" s="2"/>
      <c r="O19" s="2"/>
    </row>
    <row r="20" spans="1:15">
      <c r="A20" s="2"/>
      <c r="B20" s="2"/>
      <c r="C20" s="2"/>
      <c r="D20" s="2"/>
      <c r="E20" s="2"/>
      <c r="F20" s="2"/>
      <c r="G20" s="2"/>
      <c r="H20" s="2"/>
      <c r="I20" s="2"/>
      <c r="J20" s="2" t="s">
        <v>569</v>
      </c>
      <c r="K20" s="2"/>
      <c r="L20" s="2"/>
      <c r="M20" s="2"/>
      <c r="N20" s="2"/>
      <c r="O20" s="2"/>
    </row>
    <row r="21" spans="1:15" ht="27.6">
      <c r="A21" s="2"/>
      <c r="B21" s="2"/>
      <c r="C21" s="2"/>
      <c r="D21" s="2"/>
      <c r="E21" s="2"/>
      <c r="F21" s="2"/>
      <c r="G21" s="2"/>
      <c r="H21" s="2"/>
      <c r="I21" s="2"/>
      <c r="J21" s="2" t="s">
        <v>154</v>
      </c>
      <c r="K21" s="2"/>
      <c r="L21" s="2"/>
      <c r="M21" s="2"/>
      <c r="N21" s="2"/>
      <c r="O21" s="2"/>
    </row>
    <row r="22" spans="1:15" ht="27.6">
      <c r="A22" s="2"/>
      <c r="B22" s="2"/>
      <c r="C22" s="2"/>
      <c r="D22" s="2"/>
      <c r="E22" s="2"/>
      <c r="F22" s="2"/>
      <c r="G22" s="2"/>
      <c r="H22" s="2"/>
      <c r="I22" s="2"/>
      <c r="J22" s="2" t="s">
        <v>194</v>
      </c>
      <c r="K22" s="2"/>
      <c r="L22" s="2"/>
      <c r="M22" s="2"/>
      <c r="N22" s="2"/>
      <c r="O22" s="2"/>
    </row>
    <row r="23" spans="1:15">
      <c r="A23" s="2"/>
      <c r="B23" s="2"/>
      <c r="C23" s="2"/>
      <c r="D23" s="2"/>
      <c r="E23" s="2"/>
      <c r="F23" s="2"/>
      <c r="G23" s="2"/>
      <c r="H23" s="2"/>
      <c r="I23" s="2"/>
      <c r="J23" s="2" t="s">
        <v>418</v>
      </c>
      <c r="K23" s="2"/>
      <c r="L23" s="2"/>
      <c r="M23" s="2"/>
      <c r="N23" s="2"/>
      <c r="O23"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workbookViewId="0"/>
  </sheetViews>
  <sheetFormatPr defaultRowHeight="13.8"/>
  <cols>
    <col min="1" max="2" width="28" customWidth="1"/>
    <col min="4" max="8" width="24" customWidth="1"/>
  </cols>
  <sheetData>
    <row r="1" spans="1:8" ht="17.399999999999999">
      <c r="A1" s="1" t="s">
        <v>2722</v>
      </c>
      <c r="B1" s="1"/>
    </row>
    <row r="2" spans="1:8">
      <c r="A2" s="6" t="s">
        <v>2723</v>
      </c>
      <c r="B2" s="6" t="s">
        <v>2724</v>
      </c>
      <c r="D2" s="6" t="s">
        <v>2725</v>
      </c>
      <c r="E2" s="6" t="s">
        <v>2726</v>
      </c>
      <c r="G2" s="6" t="s">
        <v>2727</v>
      </c>
      <c r="H2" s="6" t="s">
        <v>2726</v>
      </c>
    </row>
    <row r="3" spans="1:8">
      <c r="A3" t="s">
        <v>2728</v>
      </c>
      <c r="B3">
        <f>COUNTA(Master_Extraction!$A$2:$A$51)</f>
        <v>50</v>
      </c>
      <c r="D3" t="s">
        <v>358</v>
      </c>
      <c r="E3">
        <f>COUNTIF(Master_Extraction!$AK$2:$AK$51,D3)</f>
        <v>8</v>
      </c>
      <c r="G3" t="s">
        <v>530</v>
      </c>
      <c r="H3">
        <f>COUNTIF(Master_Extraction!$CG$2:$CJ$51,G3)</f>
        <v>10</v>
      </c>
    </row>
    <row r="4" spans="1:8">
      <c r="A4" t="s">
        <v>2729</v>
      </c>
      <c r="B4">
        <f>COUNTIF(Master_Extraction!$D$2:$D$51,"Completed")</f>
        <v>50</v>
      </c>
      <c r="D4" t="s">
        <v>588</v>
      </c>
      <c r="E4">
        <f>COUNTIF(Master_Extraction!$AK$2:$AK$51,D4)</f>
        <v>3</v>
      </c>
      <c r="G4" t="s">
        <v>1099</v>
      </c>
      <c r="H4">
        <f>COUNTIF(Master_Extraction!$CG$2:$CJ$51,G4)</f>
        <v>3</v>
      </c>
    </row>
    <row r="5" spans="1:8">
      <c r="A5" t="s">
        <v>2730</v>
      </c>
      <c r="B5">
        <f>COUNTIF(Master_Extraction!$D$2:$D$51,"Needs Human Check")</f>
        <v>0</v>
      </c>
      <c r="D5" t="s">
        <v>398</v>
      </c>
      <c r="E5">
        <f>COUNTIF(Master_Extraction!$AK$2:$AK$51,D5)</f>
        <v>6</v>
      </c>
      <c r="G5" t="s">
        <v>386</v>
      </c>
      <c r="H5">
        <f>COUNTIF(Master_Extraction!$CG$2:$CJ$51,G5)</f>
        <v>7</v>
      </c>
    </row>
    <row r="6" spans="1:8">
      <c r="A6" t="s">
        <v>2731</v>
      </c>
      <c r="B6">
        <f>COUNTIF(Master_Extraction!$T$2:$T$51,"Include")</f>
        <v>48</v>
      </c>
      <c r="D6" t="s">
        <v>950</v>
      </c>
      <c r="E6">
        <f>COUNTIF(Master_Extraction!$AK$2:$AK$51,D6)</f>
        <v>3</v>
      </c>
      <c r="G6" t="s">
        <v>1223</v>
      </c>
      <c r="H6">
        <f>COUNTIF(Master_Extraction!$CG$2:$CJ$51,G6)</f>
        <v>2</v>
      </c>
    </row>
    <row r="7" spans="1:8">
      <c r="A7" t="s">
        <v>2732</v>
      </c>
      <c r="B7">
        <f>COUNTIF(Master_Extraction!$T$2:$T$51,"Exclude")</f>
        <v>0</v>
      </c>
      <c r="D7" t="s">
        <v>2680</v>
      </c>
      <c r="E7">
        <f>COUNTIF(Master_Extraction!$AK$2:$AK$51,D7)</f>
        <v>0</v>
      </c>
      <c r="G7" t="s">
        <v>340</v>
      </c>
      <c r="H7">
        <f>COUNTIF(Master_Extraction!$CG$2:$CJ$51,G7)</f>
        <v>6</v>
      </c>
    </row>
    <row r="8" spans="1:8">
      <c r="A8" t="s">
        <v>2733</v>
      </c>
      <c r="B8">
        <f>COUNTIF(Master_Extraction!$T$2:$T$51,"Maybe")</f>
        <v>2</v>
      </c>
      <c r="D8" t="s">
        <v>271</v>
      </c>
      <c r="E8">
        <f>COUNTIF(Master_Extraction!$AK$2:$AK$51,D8)</f>
        <v>8</v>
      </c>
      <c r="G8" t="s">
        <v>195</v>
      </c>
      <c r="H8">
        <f>COUNTIF(Master_Extraction!$CG$2:$CJ$51,G8)</f>
        <v>4</v>
      </c>
    </row>
    <row r="9" spans="1:8">
      <c r="A9" t="s">
        <v>2734</v>
      </c>
      <c r="B9">
        <f>IFERROR(AVERAGE(Quality_Appraisal!$O$2:$O$51),"")</f>
        <v>21.38</v>
      </c>
      <c r="D9" t="s">
        <v>127</v>
      </c>
      <c r="E9">
        <f>COUNTIF(Master_Extraction!$AK$2:$AK$51,D9)</f>
        <v>2</v>
      </c>
      <c r="G9" t="s">
        <v>494</v>
      </c>
      <c r="H9">
        <f>COUNTIF(Master_Extraction!$CG$2:$CJ$51,G9)</f>
        <v>3</v>
      </c>
    </row>
    <row r="10" spans="1:8">
      <c r="A10" t="s">
        <v>2735</v>
      </c>
      <c r="B10">
        <f>COUNTIF(Quality_Appraisal!$P$2:$P$51,"Strong")</f>
        <v>43</v>
      </c>
      <c r="D10" t="s">
        <v>217</v>
      </c>
      <c r="E10">
        <f>COUNTIF(Master_Extraction!$AK$2:$AK$51,D10)</f>
        <v>1</v>
      </c>
      <c r="G10" t="s">
        <v>152</v>
      </c>
      <c r="H10">
        <f>COUNTIF(Master_Extraction!$CG$2:$CJ$51,G10)</f>
        <v>34</v>
      </c>
    </row>
    <row r="11" spans="1:8">
      <c r="A11" t="s">
        <v>2736</v>
      </c>
      <c r="B11">
        <f>COUNTIF(Quality_Appraisal!$P$2:$P$51,"Moderate")</f>
        <v>7</v>
      </c>
      <c r="G11" t="s">
        <v>155</v>
      </c>
      <c r="H11">
        <f>COUNTIF(Master_Extraction!$CG$2:$CJ$51,G11)</f>
        <v>18</v>
      </c>
    </row>
    <row r="12" spans="1:8">
      <c r="A12" t="s">
        <v>2737</v>
      </c>
      <c r="B12">
        <f>COUNTIF(Quality_Appraisal!$P$2:$P$51,"Weak")</f>
        <v>0</v>
      </c>
      <c r="G12" t="s">
        <v>418</v>
      </c>
      <c r="H12">
        <f>COUNTIF(Master_Extraction!$CG$2:$CJ$51,G12)</f>
        <v>2</v>
      </c>
    </row>
    <row r="14" spans="1:8">
      <c r="A14" s="7" t="s">
        <v>2738</v>
      </c>
      <c r="B14" s="7" t="s">
        <v>2739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Master_Extraction</vt:lpstr>
      <vt:lpstr>Evidence_Quotes</vt:lpstr>
      <vt:lpstr>Quality_Appraisal</vt:lpstr>
      <vt:lpstr>Theme_Codebook</vt:lpstr>
      <vt:lpstr>Synthesis_Matrix</vt:lpstr>
      <vt:lpstr>Method_Taxonomy</vt:lpstr>
      <vt:lpstr>Controlled_Vocab</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j</dc:creator>
  <cp:lastModifiedBy>aman j</cp:lastModifiedBy>
  <dcterms:created xsi:type="dcterms:W3CDTF">2026-06-25T06:44:54Z</dcterms:created>
  <dcterms:modified xsi:type="dcterms:W3CDTF">2026-06-25T06:44:55Z</dcterms:modified>
</cp:coreProperties>
</file>